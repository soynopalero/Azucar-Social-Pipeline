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J Pa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<sst xmlns="http://schemas.openxmlformats.org/spreadsheetml/2006/main" count="40" uniqueCount="40">
  <si>
    <t xml:space="preserve">Azúcar · DJ Door Split</t>
  </si>
  <si>
    <t xml:space="preserve">Type in the yellow cells (blue text). Everything else recalculates.</t>
  </si>
  <si>
    <t xml:space="preserve">TONIGHT</t>
  </si>
  <si>
    <t xml:space="preserve">Cover charge per person</t>
  </si>
  <si>
    <t xml:space="preserve">People through the door</t>
  </si>
  <si>
    <t xml:space="preserve">DEAL TERMS</t>
  </si>
  <si>
    <t xml:space="preserve">DJ's first dollars (100% to DJ)</t>
  </si>
  <si>
    <t xml:space="preserve">Standard deal per your agreement with the DJ. Change only if the deal changes.</t>
  </si>
  <si>
    <t xml:space="preserve">DJ share after that</t>
  </si>
  <si>
    <t xml:space="preserve">DJ cap for the night</t>
  </si>
  <si>
    <t xml:space="preserve">TONIGHT'S SPLIT</t>
  </si>
  <si>
    <t xml:space="preserve">Door total</t>
  </si>
  <si>
    <t xml:space="preserve">DJ gets</t>
  </si>
  <si>
    <t xml:space="preserve">You keep</t>
  </si>
  <si>
    <t xml:space="preserve">Door total at which the DJ is capped</t>
  </si>
  <si>
    <t xml:space="preserve">People needed to cap the DJ at this cover</t>
  </si>
  <si>
    <t xml:space="preserve">Status</t>
  </si>
  <si>
    <t xml:space="preserve">WHERE EACH DOLLAR GOES</t>
  </si>
  <si>
    <t xml:space="preserve">Tier</t>
  </si>
  <si>
    <t xml:space="preserve">Door in tier</t>
  </si>
  <si>
    <t xml:space="preserve">DJ</t>
  </si>
  <si>
    <t xml:space="preserve">You</t>
  </si>
  <si>
    <t xml:space="preserve">Total</t>
  </si>
  <si>
    <t xml:space="preserve">HOW MANY PEOPLE TO REACH THE CAP</t>
  </si>
  <si>
    <t xml:space="preserve">Cover charge</t>
  </si>
  <si>
    <t xml:space="preserve">DJ clears first dollars</t>
  </si>
  <si>
    <t xml:space="preserve">DJ hits the cap</t>
  </si>
  <si>
    <t xml:space="preserve">Door at cap</t>
  </si>
  <si>
    <t xml:space="preserve">Cover charges in this column are editable too.</t>
  </si>
  <si>
    <t xml:space="preserve">DJ PAY BY HEADCOUNT AND COVER</t>
  </si>
  <si>
    <t xml:space="preserve">People ↓  /  Cover →</t>
  </si>
  <si>
    <t xml:space="preserve">Each cell is what the DJ is paid. Headcounts in column A are editable.</t>
  </si>
  <si>
    <t xml:space="preserve">LEGEND</t>
  </si>
  <si>
    <t xml:space="preserve">Yellow cell, blue text</t>
  </si>
  <si>
    <t xml:space="preserve">You type here</t>
  </si>
  <si>
    <t xml:space="preserve">Pink</t>
  </si>
  <si>
    <t xml:space="preserve">DJ's money</t>
  </si>
  <si>
    <t xml:space="preserve">Gold</t>
  </si>
  <si>
    <t xml:space="preserve">Your money</t>
  </si>
  <si>
    <t xml:space="preserve">Rule: first $200 at the door goes to the DJ, then 50/50 until the DJ reaches $500, then 100% to you. Amounts come from your deal with the DJ.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</si>
</sst>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#,##0"/>
    <numFmt numFmtId="167" formatCode="0%"/>
    <numFmt numFmtId="168" formatCode="\$#,##0.00;&quot;($&quot;#,##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C0006A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E3EF"/>
        <bgColor rgb="FFEEEEEE"/>
      </patternFill>
    </fill>
    <fill>
      <patternFill patternType="solid">
        <fgColor rgb="FFFFF1D6"/>
        <bgColor rgb="FFEEEEEE"/>
      </patternFill>
    </fill>
    <fill>
      <patternFill patternType="solid">
        <fgColor rgb="FFEEEEEE"/>
        <bgColor rgb="FFFFF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C0006A"/>
      <rgbColor rgb="FF008080"/>
      <rgbColor rgb="FFBBBBBB"/>
      <rgbColor rgb="FF808080"/>
      <rgbColor rgb="FF9999FF"/>
      <rgbColor rgb="FF993366"/>
      <rgbColor rgb="FFFFF1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3EF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10</v>
      </c>
    </row>
    <row r="6" customFormat="false" ht="15" hidden="false" customHeight="false" outlineLevel="0" collapsed="false">
      <c r="A6" s="4" t="s">
        <v>4</v>
      </c>
      <c r="B6" s="6" t="n">
        <v>50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4" t="s">
        <v>6</v>
      </c>
      <c r="B9" s="5" t="n">
        <v>200</v>
      </c>
      <c r="C9" s="2" t="s">
        <v>7</v>
      </c>
    </row>
    <row r="10" customFormat="false" ht="15" hidden="false" customHeight="false" outlineLevel="0" collapsed="false">
      <c r="A10" s="4" t="s">
        <v>8</v>
      </c>
      <c r="B10" s="7" t="n">
        <v>0.5</v>
      </c>
    </row>
    <row r="11" customFormat="false" ht="15" hidden="false" customHeight="false" outlineLevel="0" collapsed="false">
      <c r="A11" s="4" t="s">
        <v>9</v>
      </c>
      <c r="B11" s="5" t="n">
        <v>500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4" t="s">
        <v>11</v>
      </c>
      <c r="B14" s="8" t="n">
        <f aca="false">B5*B6</f>
        <v>500</v>
      </c>
    </row>
    <row r="15" customFormat="false" ht="15" hidden="false" customHeight="false" outlineLevel="0" collapsed="false">
      <c r="A15" s="4" t="s">
        <v>12</v>
      </c>
      <c r="B15" s="9" t="n">
        <f aca="false">MIN(MIN(B14,B9)+MAX(0,B14-B9)*B10,B11)</f>
        <v>350</v>
      </c>
    </row>
    <row r="16" customFormat="false" ht="15" hidden="false" customHeight="false" outlineLevel="0" collapsed="false">
      <c r="A16" s="4" t="s">
        <v>13</v>
      </c>
      <c r="B16" s="10" t="n">
        <f aca="false">B14-B15</f>
        <v>150</v>
      </c>
    </row>
    <row r="17" customFormat="false" ht="15" hidden="false" customHeight="false" outlineLevel="0" collapsed="false">
      <c r="A17" s="4" t="s">
        <v>14</v>
      </c>
      <c r="B17" s="11" t="n">
        <f aca="false">IF(B11&lt;=B9,B11,IF(B10&lt;=0,"never",B9+(B11-B9)/B10))</f>
        <v>800</v>
      </c>
    </row>
    <row r="18" customFormat="false" ht="15" hidden="false" customHeight="false" outlineLevel="0" collapsed="false">
      <c r="A18" s="4" t="s">
        <v>15</v>
      </c>
      <c r="B18" s="12" t="n">
        <f aca="false">IF(OR(B5&lt;=0,NOT(ISNUMBER(B17))),"never",ROUNDUP(B17/B5,0))</f>
        <v>80</v>
      </c>
    </row>
    <row r="19" customFormat="false" ht="15" hidden="false" customHeight="false" outlineLevel="0" collapsed="false">
      <c r="A19" s="4" t="s">
        <v>16</v>
      </c>
      <c r="B19" s="4" t="str">
        <f aca="false">IF(B14=0,"No door yet",IF(B15&gt;=B11,"DJ capped, rest is yours",IF(B14&lt;=B9,"Still inside DJ's first $"&amp;TEXT(B9,"0"),"DJ is $"&amp;TEXT(B11-B15,"0")&amp;" short of cap")))</f>
        <v>DJ is $150 short of cap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13" t="s">
        <v>18</v>
      </c>
      <c r="B22" s="14" t="s">
        <v>19</v>
      </c>
      <c r="C22" s="14" t="s">
        <v>20</v>
      </c>
      <c r="D22" s="14" t="s">
        <v>21</v>
      </c>
    </row>
    <row r="23" customFormat="false" ht="15" hidden="false" customHeight="false" outlineLevel="0" collapsed="false">
      <c r="A23" s="4" t="str">
        <f aca="false">"First $"&amp;TEXT(B9,"0")&amp;" (100% to DJ)"</f>
        <v>First $200 (100% to DJ)</v>
      </c>
      <c r="B23" s="11" t="n">
        <f aca="false">MIN(B14,B9)</f>
        <v>200</v>
      </c>
      <c r="C23" s="15" t="n">
        <f aca="false">B23</f>
        <v>200</v>
      </c>
      <c r="D23" s="16" t="n">
        <f aca="false">0</f>
        <v>0</v>
      </c>
    </row>
    <row r="24" customFormat="false" ht="15" hidden="false" customHeight="false" outlineLevel="0" collapsed="false">
      <c r="A24" s="4" t="str">
        <f aca="false">"Next dollars (DJ "&amp;TEXT(B10,"0%")&amp;" / you "&amp;TEXT(1-B10,"0%")&amp;")"</f>
        <v>Next dollars (DJ 50% / you 50%)</v>
      </c>
      <c r="B24" s="11" t="n">
        <f aca="false">IF(ISNUMBER(B17),MAX(0,MIN(B14-B9,B17-B9)),MAX(0,B14-B9))</f>
        <v>300</v>
      </c>
      <c r="C24" s="15" t="n">
        <f aca="false">B24*B10</f>
        <v>150</v>
      </c>
      <c r="D24" s="16" t="n">
        <f aca="false">B24-C24</f>
        <v>150</v>
      </c>
    </row>
    <row r="25" customFormat="false" ht="15" hidden="false" customHeight="false" outlineLevel="0" collapsed="false">
      <c r="A25" s="4" t="str">
        <f aca="false">IF(ISNUMBER(B17),"Above $"&amp;TEXT(B17,"0")&amp;" (DJ capped, 100% to you)","Above cap (n/a)")</f>
        <v>Above $800 (DJ capped, 100% to you)</v>
      </c>
      <c r="B25" s="11" t="n">
        <f aca="false">IF(ISNUMBER(B17),MAX(0,B14-B17),0)</f>
        <v>0</v>
      </c>
      <c r="C25" s="15" t="n">
        <f aca="false">0</f>
        <v>0</v>
      </c>
      <c r="D25" s="16" t="n">
        <f aca="false">B25</f>
        <v>0</v>
      </c>
    </row>
    <row r="26" customFormat="false" ht="15" hidden="false" customHeight="false" outlineLevel="0" collapsed="false">
      <c r="A26" s="17" t="s">
        <v>22</v>
      </c>
      <c r="B26" s="8" t="n">
        <f aca="false">SUM(B23:B25)</f>
        <v>500</v>
      </c>
      <c r="C26" s="9" t="n">
        <f aca="false">SUM(C23:C25)</f>
        <v>350</v>
      </c>
      <c r="D26" s="10" t="n">
        <f aca="false">SUM(D23:D25)</f>
        <v>150</v>
      </c>
      <c r="E26" s="2" t="str">
        <f aca="false">IF(ROUND(C26-B15,2)=0,"check ok","CHECK: tiers do not match DJ pay")</f>
        <v>check ok</v>
      </c>
    </row>
    <row r="28" customFormat="false" ht="15" hidden="false" customHeight="false" outlineLevel="0" collapsed="false">
      <c r="A28" s="3" t="s">
        <v>23</v>
      </c>
    </row>
    <row r="29" customFormat="false" ht="15" hidden="false" customHeight="false" outlineLevel="0" collapsed="false">
      <c r="A29" s="13" t="s">
        <v>24</v>
      </c>
      <c r="B29" s="14" t="s">
        <v>25</v>
      </c>
      <c r="C29" s="14" t="s">
        <v>26</v>
      </c>
      <c r="D29" s="14" t="s">
        <v>27</v>
      </c>
    </row>
    <row r="30" customFormat="false" ht="15" hidden="false" customHeight="false" outlineLevel="0" collapsed="false">
      <c r="A30" s="18" t="n">
        <v>5</v>
      </c>
      <c r="B30" s="19" t="n">
        <f aca="false">IF(A30&lt;=0,"-",ROUNDUP($B$9/A30,0))</f>
        <v>40</v>
      </c>
      <c r="C30" s="12" t="n">
        <f aca="false">IF(OR(A30&lt;=0,NOT(ISNUMBER($B$17))),"never",ROUNDUP($B$17/A30,0))</f>
        <v>160</v>
      </c>
      <c r="D30" s="20" t="n">
        <f aca="false">IF(ISNUMBER($B$17),$B$17,"-")</f>
        <v>800</v>
      </c>
    </row>
    <row r="31" customFormat="false" ht="15" hidden="false" customHeight="false" outlineLevel="0" collapsed="false">
      <c r="A31" s="18" t="n">
        <v>10</v>
      </c>
      <c r="B31" s="19" t="n">
        <f aca="false">IF(A31&lt;=0,"-",ROUNDUP($B$9/A31,0))</f>
        <v>20</v>
      </c>
      <c r="C31" s="12" t="n">
        <f aca="false">IF(OR(A31&lt;=0,NOT(ISNUMBER($B$17))),"never",ROUNDUP($B$17/A31,0))</f>
        <v>80</v>
      </c>
      <c r="D31" s="20" t="n">
        <f aca="false">IF(ISNUMBER($B$17),$B$17,"-")</f>
        <v>800</v>
      </c>
    </row>
    <row r="32" customFormat="false" ht="15" hidden="false" customHeight="false" outlineLevel="0" collapsed="false">
      <c r="A32" s="18" t="n">
        <v>15</v>
      </c>
      <c r="B32" s="19" t="n">
        <f aca="false">IF(A32&lt;=0,"-",ROUNDUP($B$9/A32,0))</f>
        <v>14</v>
      </c>
      <c r="C32" s="12" t="n">
        <f aca="false">IF(OR(A32&lt;=0,NOT(ISNUMBER($B$17))),"never",ROUNDUP($B$17/A32,0))</f>
        <v>54</v>
      </c>
      <c r="D32" s="20" t="n">
        <f aca="false">IF(ISNUMBER($B$17),$B$17,"-")</f>
        <v>800</v>
      </c>
    </row>
    <row r="33" customFormat="false" ht="15" hidden="false" customHeight="false" outlineLevel="0" collapsed="false">
      <c r="A33" s="18" t="n">
        <v>20</v>
      </c>
      <c r="B33" s="19" t="n">
        <f aca="false">IF(A33&lt;=0,"-",ROUNDUP($B$9/A33,0))</f>
        <v>10</v>
      </c>
      <c r="C33" s="12" t="n">
        <f aca="false">IF(OR(A33&lt;=0,NOT(ISNUMBER($B$17))),"never",ROUNDUP($B$17/A33,0))</f>
        <v>40</v>
      </c>
      <c r="D33" s="20" t="n">
        <f aca="false">IF(ISNUMBER($B$17),$B$17,"-")</f>
        <v>800</v>
      </c>
    </row>
    <row r="34" customFormat="false" ht="15" hidden="false" customHeight="false" outlineLevel="0" collapsed="false">
      <c r="A34" s="18" t="n">
        <v>25</v>
      </c>
      <c r="B34" s="19" t="n">
        <f aca="false">IF(A34&lt;=0,"-",ROUNDUP($B$9/A34,0))</f>
        <v>8</v>
      </c>
      <c r="C34" s="12" t="n">
        <f aca="false">IF(OR(A34&lt;=0,NOT(ISNUMBER($B$17))),"never",ROUNDUP($B$17/A34,0))</f>
        <v>32</v>
      </c>
      <c r="D34" s="20" t="n">
        <f aca="false">IF(ISNUMBER($B$17),$B$17,"-")</f>
        <v>800</v>
      </c>
    </row>
    <row r="35" customFormat="false" ht="15" hidden="false" customHeight="false" outlineLevel="0" collapsed="false">
      <c r="A35" s="18" t="n">
        <v>30</v>
      </c>
      <c r="B35" s="19" t="n">
        <f aca="false">IF(A35&lt;=0,"-",ROUNDUP($B$9/A35,0))</f>
        <v>7</v>
      </c>
      <c r="C35" s="12" t="n">
        <f aca="false">IF(OR(A35&lt;=0,NOT(ISNUMBER($B$17))),"never",ROUNDUP($B$17/A35,0))</f>
        <v>27</v>
      </c>
      <c r="D35" s="20" t="n">
        <f aca="false">IF(ISNUMBER($B$17),$B$17,"-")</f>
        <v>800</v>
      </c>
    </row>
    <row r="36" customFormat="false" ht="15" hidden="false" customHeight="false" outlineLevel="0" collapsed="false">
      <c r="A36" s="2" t="s">
        <v>28</v>
      </c>
    </row>
    <row r="38" customFormat="false" ht="15" hidden="false" customHeight="false" outlineLevel="0" collapsed="false">
      <c r="A38" s="3" t="s">
        <v>29</v>
      </c>
    </row>
    <row r="39" customFormat="false" ht="15" hidden="false" customHeight="false" outlineLevel="0" collapsed="false">
      <c r="A39" s="13" t="s">
        <v>30</v>
      </c>
      <c r="B39" s="21" t="n">
        <f aca="false">A30</f>
        <v>5</v>
      </c>
      <c r="C39" s="21" t="n">
        <f aca="false">A31</f>
        <v>10</v>
      </c>
      <c r="D39" s="21" t="n">
        <f aca="false">A32</f>
        <v>15</v>
      </c>
      <c r="E39" s="21" t="n">
        <f aca="false">A33</f>
        <v>20</v>
      </c>
      <c r="F39" s="21" t="n">
        <f aca="false">A34</f>
        <v>25</v>
      </c>
      <c r="G39" s="21" t="n">
        <f aca="false">A35</f>
        <v>30</v>
      </c>
    </row>
    <row r="40" customFormat="false" ht="15" hidden="false" customHeight="false" outlineLevel="0" collapsed="false">
      <c r="A40" s="22" t="n">
        <v>5</v>
      </c>
      <c r="B40" s="20" t="n">
        <f aca="false">MIN(MIN(($A40*B$39),$B$9)+MAX(0,($A40*B$39)-$B$9)*$B$10,$B$11)</f>
        <v>25</v>
      </c>
      <c r="C40" s="20" t="n">
        <f aca="false">MIN(MIN(($A40*C$39),$B$9)+MAX(0,($A40*C$39)-$B$9)*$B$10,$B$11)</f>
        <v>50</v>
      </c>
      <c r="D40" s="20" t="n">
        <f aca="false">MIN(MIN(($A40*D$39),$B$9)+MAX(0,($A40*D$39)-$B$9)*$B$10,$B$11)</f>
        <v>75</v>
      </c>
      <c r="E40" s="20" t="n">
        <f aca="false">MIN(MIN(($A40*E$39),$B$9)+MAX(0,($A40*E$39)-$B$9)*$B$10,$B$11)</f>
        <v>100</v>
      </c>
      <c r="F40" s="20" t="n">
        <f aca="false">MIN(MIN(($A40*F$39),$B$9)+MAX(0,($A40*F$39)-$B$9)*$B$10,$B$11)</f>
        <v>125</v>
      </c>
      <c r="G40" s="20" t="n">
        <f aca="false">MIN(MIN(($A40*G$39),$B$9)+MAX(0,($A40*G$39)-$B$9)*$B$10,$B$11)</f>
        <v>150</v>
      </c>
    </row>
    <row r="41" customFormat="false" ht="15" hidden="false" customHeight="false" outlineLevel="0" collapsed="false">
      <c r="A41" s="22" t="n">
        <v>10</v>
      </c>
      <c r="B41" s="20" t="n">
        <f aca="false">MIN(MIN(($A41*B$39),$B$9)+MAX(0,($A41*B$39)-$B$9)*$B$10,$B$11)</f>
        <v>50</v>
      </c>
      <c r="C41" s="20" t="n">
        <f aca="false">MIN(MIN(($A41*C$39),$B$9)+MAX(0,($A41*C$39)-$B$9)*$B$10,$B$11)</f>
        <v>100</v>
      </c>
      <c r="D41" s="20" t="n">
        <f aca="false">MIN(MIN(($A41*D$39),$B$9)+MAX(0,($A41*D$39)-$B$9)*$B$10,$B$11)</f>
        <v>150</v>
      </c>
      <c r="E41" s="20" t="n">
        <f aca="false">MIN(MIN(($A41*E$39),$B$9)+MAX(0,($A41*E$39)-$B$9)*$B$10,$B$11)</f>
        <v>200</v>
      </c>
      <c r="F41" s="20" t="n">
        <f aca="false">MIN(MIN(($A41*F$39),$B$9)+MAX(0,($A41*F$39)-$B$9)*$B$10,$B$11)</f>
        <v>225</v>
      </c>
      <c r="G41" s="20" t="n">
        <f aca="false">MIN(MIN(($A41*G$39),$B$9)+MAX(0,($A41*G$39)-$B$9)*$B$10,$B$11)</f>
        <v>250</v>
      </c>
    </row>
    <row r="42" customFormat="false" ht="15" hidden="false" customHeight="false" outlineLevel="0" collapsed="false">
      <c r="A42" s="22" t="n">
        <v>15</v>
      </c>
      <c r="B42" s="20" t="n">
        <f aca="false">MIN(MIN(($A42*B$39),$B$9)+MAX(0,($A42*B$39)-$B$9)*$B$10,$B$11)</f>
        <v>75</v>
      </c>
      <c r="C42" s="20" t="n">
        <f aca="false">MIN(MIN(($A42*C$39),$B$9)+MAX(0,($A42*C$39)-$B$9)*$B$10,$B$11)</f>
        <v>150</v>
      </c>
      <c r="D42" s="20" t="n">
        <f aca="false">MIN(MIN(($A42*D$39),$B$9)+MAX(0,($A42*D$39)-$B$9)*$B$10,$B$11)</f>
        <v>212.5</v>
      </c>
      <c r="E42" s="20" t="n">
        <f aca="false">MIN(MIN(($A42*E$39),$B$9)+MAX(0,($A42*E$39)-$B$9)*$B$10,$B$11)</f>
        <v>250</v>
      </c>
      <c r="F42" s="20" t="n">
        <f aca="false">MIN(MIN(($A42*F$39),$B$9)+MAX(0,($A42*F$39)-$B$9)*$B$10,$B$11)</f>
        <v>287.5</v>
      </c>
      <c r="G42" s="20" t="n">
        <f aca="false">MIN(MIN(($A42*G$39),$B$9)+MAX(0,($A42*G$39)-$B$9)*$B$10,$B$11)</f>
        <v>325</v>
      </c>
    </row>
    <row r="43" customFormat="false" ht="15" hidden="false" customHeight="false" outlineLevel="0" collapsed="false">
      <c r="A43" s="22" t="n">
        <v>20</v>
      </c>
      <c r="B43" s="20" t="n">
        <f aca="false">MIN(MIN(($A43*B$39),$B$9)+MAX(0,($A43*B$39)-$B$9)*$B$10,$B$11)</f>
        <v>100</v>
      </c>
      <c r="C43" s="20" t="n">
        <f aca="false">MIN(MIN(($A43*C$39),$B$9)+MAX(0,($A43*C$39)-$B$9)*$B$10,$B$11)</f>
        <v>200</v>
      </c>
      <c r="D43" s="20" t="n">
        <f aca="false">MIN(MIN(($A43*D$39),$B$9)+MAX(0,($A43*D$39)-$B$9)*$B$10,$B$11)</f>
        <v>250</v>
      </c>
      <c r="E43" s="20" t="n">
        <f aca="false">MIN(MIN(($A43*E$39),$B$9)+MAX(0,($A43*E$39)-$B$9)*$B$10,$B$11)</f>
        <v>300</v>
      </c>
      <c r="F43" s="20" t="n">
        <f aca="false">MIN(MIN(($A43*F$39),$B$9)+MAX(0,($A43*F$39)-$B$9)*$B$10,$B$11)</f>
        <v>350</v>
      </c>
      <c r="G43" s="20" t="n">
        <f aca="false">MIN(MIN(($A43*G$39),$B$9)+MAX(0,($A43*G$39)-$B$9)*$B$10,$B$11)</f>
        <v>400</v>
      </c>
    </row>
    <row r="44" customFormat="false" ht="15" hidden="false" customHeight="false" outlineLevel="0" collapsed="false">
      <c r="A44" s="22" t="n">
        <v>25</v>
      </c>
      <c r="B44" s="20" t="n">
        <f aca="false">MIN(MIN(($A44*B$39),$B$9)+MAX(0,($A44*B$39)-$B$9)*$B$10,$B$11)</f>
        <v>125</v>
      </c>
      <c r="C44" s="20" t="n">
        <f aca="false">MIN(MIN(($A44*C$39),$B$9)+MAX(0,($A44*C$39)-$B$9)*$B$10,$B$11)</f>
        <v>225</v>
      </c>
      <c r="D44" s="20" t="n">
        <f aca="false">MIN(MIN(($A44*D$39),$B$9)+MAX(0,($A44*D$39)-$B$9)*$B$10,$B$11)</f>
        <v>287.5</v>
      </c>
      <c r="E44" s="20" t="n">
        <f aca="false">MIN(MIN(($A44*E$39),$B$9)+MAX(0,($A44*E$39)-$B$9)*$B$10,$B$11)</f>
        <v>350</v>
      </c>
      <c r="F44" s="20" t="n">
        <f aca="false">MIN(MIN(($A44*F$39),$B$9)+MAX(0,($A44*F$39)-$B$9)*$B$10,$B$11)</f>
        <v>412.5</v>
      </c>
      <c r="G44" s="20" t="n">
        <f aca="false">MIN(MIN(($A44*G$39),$B$9)+MAX(0,($A44*G$39)-$B$9)*$B$10,$B$11)</f>
        <v>475</v>
      </c>
    </row>
    <row r="45" customFormat="false" ht="15" hidden="false" customHeight="false" outlineLevel="0" collapsed="false">
      <c r="A45" s="22" t="n">
        <v>30</v>
      </c>
      <c r="B45" s="20" t="n">
        <f aca="false">MIN(MIN(($A45*B$39),$B$9)+MAX(0,($A45*B$39)-$B$9)*$B$10,$B$11)</f>
        <v>150</v>
      </c>
      <c r="C45" s="20" t="n">
        <f aca="false">MIN(MIN(($A45*C$39),$B$9)+MAX(0,($A45*C$39)-$B$9)*$B$10,$B$11)</f>
        <v>250</v>
      </c>
      <c r="D45" s="20" t="n">
        <f aca="false">MIN(MIN(($A45*D$39),$B$9)+MAX(0,($A45*D$39)-$B$9)*$B$10,$B$11)</f>
        <v>325</v>
      </c>
      <c r="E45" s="20" t="n">
        <f aca="false">MIN(MIN(($A45*E$39),$B$9)+MAX(0,($A45*E$39)-$B$9)*$B$10,$B$11)</f>
        <v>400</v>
      </c>
      <c r="F45" s="20" t="n">
        <f aca="false">MIN(MIN(($A45*F$39),$B$9)+MAX(0,($A45*F$39)-$B$9)*$B$10,$B$11)</f>
        <v>475</v>
      </c>
      <c r="G45" s="20" t="n">
        <f aca="false">MIN(MIN(($A45*G$39),$B$9)+MAX(0,($A45*G$39)-$B$9)*$B$10,$B$11)</f>
        <v>500</v>
      </c>
    </row>
    <row r="46" customFormat="false" ht="15" hidden="false" customHeight="false" outlineLevel="0" collapsed="false">
      <c r="A46" s="22" t="n">
        <v>40</v>
      </c>
      <c r="B46" s="20" t="n">
        <f aca="false">MIN(MIN(($A46*B$39),$B$9)+MAX(0,($A46*B$39)-$B$9)*$B$10,$B$11)</f>
        <v>200</v>
      </c>
      <c r="C46" s="20" t="n">
        <f aca="false">MIN(MIN(($A46*C$39),$B$9)+MAX(0,($A46*C$39)-$B$9)*$B$10,$B$11)</f>
        <v>300</v>
      </c>
      <c r="D46" s="20" t="n">
        <f aca="false">MIN(MIN(($A46*D$39),$B$9)+MAX(0,($A46*D$39)-$B$9)*$B$10,$B$11)</f>
        <v>400</v>
      </c>
      <c r="E46" s="20" t="n">
        <f aca="false">MIN(MIN(($A46*E$39),$B$9)+MAX(0,($A46*E$39)-$B$9)*$B$10,$B$11)</f>
        <v>500</v>
      </c>
      <c r="F46" s="20" t="n">
        <f aca="false">MIN(MIN(($A46*F$39),$B$9)+MAX(0,($A46*F$39)-$B$9)*$B$10,$B$11)</f>
        <v>500</v>
      </c>
      <c r="G46" s="20" t="n">
        <f aca="false">MIN(MIN(($A46*G$39),$B$9)+MAX(0,($A46*G$39)-$B$9)*$B$10,$B$11)</f>
        <v>500</v>
      </c>
    </row>
    <row r="47" customFormat="false" ht="15" hidden="false" customHeight="false" outlineLevel="0" collapsed="false">
      <c r="A47" s="22" t="n">
        <v>50</v>
      </c>
      <c r="B47" s="20" t="n">
        <f aca="false">MIN(MIN(($A47*B$39),$B$9)+MAX(0,($A47*B$39)-$B$9)*$B$10,$B$11)</f>
        <v>225</v>
      </c>
      <c r="C47" s="20" t="n">
        <f aca="false">MIN(MIN(($A47*C$39),$B$9)+MAX(0,($A47*C$39)-$B$9)*$B$10,$B$11)</f>
        <v>350</v>
      </c>
      <c r="D47" s="20" t="n">
        <f aca="false">MIN(MIN(($A47*D$39),$B$9)+MAX(0,($A47*D$39)-$B$9)*$B$10,$B$11)</f>
        <v>475</v>
      </c>
      <c r="E47" s="20" t="n">
        <f aca="false">MIN(MIN(($A47*E$39),$B$9)+MAX(0,($A47*E$39)-$B$9)*$B$10,$B$11)</f>
        <v>500</v>
      </c>
      <c r="F47" s="20" t="n">
        <f aca="false">MIN(MIN(($A47*F$39),$B$9)+MAX(0,($A47*F$39)-$B$9)*$B$10,$B$11)</f>
        <v>500</v>
      </c>
      <c r="G47" s="20" t="n">
        <f aca="false">MIN(MIN(($A47*G$39),$B$9)+MAX(0,($A47*G$39)-$B$9)*$B$10,$B$11)</f>
        <v>500</v>
      </c>
    </row>
    <row r="48" customFormat="false" ht="15" hidden="false" customHeight="false" outlineLevel="0" collapsed="false">
      <c r="A48" s="22" t="n">
        <v>60</v>
      </c>
      <c r="B48" s="20" t="n">
        <f aca="false">MIN(MIN(($A48*B$39),$B$9)+MAX(0,($A48*B$39)-$B$9)*$B$10,$B$11)</f>
        <v>250</v>
      </c>
      <c r="C48" s="20" t="n">
        <f aca="false">MIN(MIN(($A48*C$39),$B$9)+MAX(0,($A48*C$39)-$B$9)*$B$10,$B$11)</f>
        <v>400</v>
      </c>
      <c r="D48" s="20" t="n">
        <f aca="false">MIN(MIN(($A48*D$39),$B$9)+MAX(0,($A48*D$39)-$B$9)*$B$10,$B$11)</f>
        <v>500</v>
      </c>
      <c r="E48" s="20" t="n">
        <f aca="false">MIN(MIN(($A48*E$39),$B$9)+MAX(0,($A48*E$39)-$B$9)*$B$10,$B$11)</f>
        <v>500</v>
      </c>
      <c r="F48" s="20" t="n">
        <f aca="false">MIN(MIN(($A48*F$39),$B$9)+MAX(0,($A48*F$39)-$B$9)*$B$10,$B$11)</f>
        <v>500</v>
      </c>
      <c r="G48" s="20" t="n">
        <f aca="false">MIN(MIN(($A48*G$39),$B$9)+MAX(0,($A48*G$39)-$B$9)*$B$10,$B$11)</f>
        <v>500</v>
      </c>
    </row>
    <row r="49" customFormat="false" ht="15" hidden="false" customHeight="false" outlineLevel="0" collapsed="false">
      <c r="A49" s="22" t="n">
        <v>75</v>
      </c>
      <c r="B49" s="20" t="n">
        <f aca="false">MIN(MIN(($A49*B$39),$B$9)+MAX(0,($A49*B$39)-$B$9)*$B$10,$B$11)</f>
        <v>287.5</v>
      </c>
      <c r="C49" s="20" t="n">
        <f aca="false">MIN(MIN(($A49*C$39),$B$9)+MAX(0,($A49*C$39)-$B$9)*$B$10,$B$11)</f>
        <v>475</v>
      </c>
      <c r="D49" s="20" t="n">
        <f aca="false">MIN(MIN(($A49*D$39),$B$9)+MAX(0,($A49*D$39)-$B$9)*$B$10,$B$11)</f>
        <v>500</v>
      </c>
      <c r="E49" s="20" t="n">
        <f aca="false">MIN(MIN(($A49*E$39),$B$9)+MAX(0,($A49*E$39)-$B$9)*$B$10,$B$11)</f>
        <v>500</v>
      </c>
      <c r="F49" s="20" t="n">
        <f aca="false">MIN(MIN(($A49*F$39),$B$9)+MAX(0,($A49*F$39)-$B$9)*$B$10,$B$11)</f>
        <v>500</v>
      </c>
      <c r="G49" s="20" t="n">
        <f aca="false">MIN(MIN(($A49*G$39),$B$9)+MAX(0,($A49*G$39)-$B$9)*$B$10,$B$11)</f>
        <v>500</v>
      </c>
    </row>
    <row r="50" customFormat="false" ht="15" hidden="false" customHeight="false" outlineLevel="0" collapsed="false">
      <c r="A50" s="22" t="n">
        <v>100</v>
      </c>
      <c r="B50" s="20" t="n">
        <f aca="false">MIN(MIN(($A50*B$39),$B$9)+MAX(0,($A50*B$39)-$B$9)*$B$10,$B$11)</f>
        <v>350</v>
      </c>
      <c r="C50" s="20" t="n">
        <f aca="false">MIN(MIN(($A50*C$39),$B$9)+MAX(0,($A50*C$39)-$B$9)*$B$10,$B$11)</f>
        <v>500</v>
      </c>
      <c r="D50" s="20" t="n">
        <f aca="false">MIN(MIN(($A50*D$39),$B$9)+MAX(0,($A50*D$39)-$B$9)*$B$10,$B$11)</f>
        <v>500</v>
      </c>
      <c r="E50" s="20" t="n">
        <f aca="false">MIN(MIN(($A50*E$39),$B$9)+MAX(0,($A50*E$39)-$B$9)*$B$10,$B$11)</f>
        <v>500</v>
      </c>
      <c r="F50" s="20" t="n">
        <f aca="false">MIN(MIN(($A50*F$39),$B$9)+MAX(0,($A50*F$39)-$B$9)*$B$10,$B$11)</f>
        <v>500</v>
      </c>
      <c r="G50" s="20" t="n">
        <f aca="false">MIN(MIN(($A50*G$39),$B$9)+MAX(0,($A50*G$39)-$B$9)*$B$10,$B$11)</f>
        <v>500</v>
      </c>
    </row>
    <row r="51" customFormat="false" ht="15" hidden="false" customHeight="false" outlineLevel="0" collapsed="false">
      <c r="A51" s="22" t="n">
        <v>125</v>
      </c>
      <c r="B51" s="20" t="n">
        <f aca="false">MIN(MIN(($A51*B$39),$B$9)+MAX(0,($A51*B$39)-$B$9)*$B$10,$B$11)</f>
        <v>412.5</v>
      </c>
      <c r="C51" s="20" t="n">
        <f aca="false">MIN(MIN(($A51*C$39),$B$9)+MAX(0,($A51*C$39)-$B$9)*$B$10,$B$11)</f>
        <v>500</v>
      </c>
      <c r="D51" s="20" t="n">
        <f aca="false">MIN(MIN(($A51*D$39),$B$9)+MAX(0,($A51*D$39)-$B$9)*$B$10,$B$11)</f>
        <v>500</v>
      </c>
      <c r="E51" s="20" t="n">
        <f aca="false">MIN(MIN(($A51*E$39),$B$9)+MAX(0,($A51*E$39)-$B$9)*$B$10,$B$11)</f>
        <v>500</v>
      </c>
      <c r="F51" s="20" t="n">
        <f aca="false">MIN(MIN(($A51*F$39),$B$9)+MAX(0,($A51*F$39)-$B$9)*$B$10,$B$11)</f>
        <v>500</v>
      </c>
      <c r="G51" s="20" t="n">
        <f aca="false">MIN(MIN(($A51*G$39),$B$9)+MAX(0,($A51*G$39)-$B$9)*$B$10,$B$11)</f>
        <v>500</v>
      </c>
    </row>
    <row r="52" customFormat="false" ht="15" hidden="false" customHeight="false" outlineLevel="0" collapsed="false">
      <c r="A52" s="22" t="n">
        <v>150</v>
      </c>
      <c r="B52" s="20" t="n">
        <f aca="false">MIN(MIN(($A52*B$39),$B$9)+MAX(0,($A52*B$39)-$B$9)*$B$10,$B$11)</f>
        <v>475</v>
      </c>
      <c r="C52" s="20" t="n">
        <f aca="false">MIN(MIN(($A52*C$39),$B$9)+MAX(0,($A52*C$39)-$B$9)*$B$10,$B$11)</f>
        <v>500</v>
      </c>
      <c r="D52" s="20" t="n">
        <f aca="false">MIN(MIN(($A52*D$39),$B$9)+MAX(0,($A52*D$39)-$B$9)*$B$10,$B$11)</f>
        <v>500</v>
      </c>
      <c r="E52" s="20" t="n">
        <f aca="false">MIN(MIN(($A52*E$39),$B$9)+MAX(0,($A52*E$39)-$B$9)*$B$10,$B$11)</f>
        <v>500</v>
      </c>
      <c r="F52" s="20" t="n">
        <f aca="false">MIN(MIN(($A52*F$39),$B$9)+MAX(0,($A52*F$39)-$B$9)*$B$10,$B$11)</f>
        <v>500</v>
      </c>
      <c r="G52" s="20" t="n">
        <f aca="false">MIN(MIN(($A52*G$39),$B$9)+MAX(0,($A52*G$39)-$B$9)*$B$10,$B$11)</f>
        <v>500</v>
      </c>
    </row>
    <row r="53" customFormat="false" ht="15" hidden="false" customHeight="false" outlineLevel="0" collapsed="false">
      <c r="A53" s="22" t="n">
        <v>200</v>
      </c>
      <c r="B53" s="20" t="n">
        <f aca="false">MIN(MIN(($A53*B$39),$B$9)+MAX(0,($A53*B$39)-$B$9)*$B$10,$B$11)</f>
        <v>500</v>
      </c>
      <c r="C53" s="20" t="n">
        <f aca="false">MIN(MIN(($A53*C$39),$B$9)+MAX(0,($A53*C$39)-$B$9)*$B$10,$B$11)</f>
        <v>500</v>
      </c>
      <c r="D53" s="20" t="n">
        <f aca="false">MIN(MIN(($A53*D$39),$B$9)+MAX(0,($A53*D$39)-$B$9)*$B$10,$B$11)</f>
        <v>500</v>
      </c>
      <c r="E53" s="20" t="n">
        <f aca="false">MIN(MIN(($A53*E$39),$B$9)+MAX(0,($A53*E$39)-$B$9)*$B$10,$B$11)</f>
        <v>500</v>
      </c>
      <c r="F53" s="20" t="n">
        <f aca="false">MIN(MIN(($A53*F$39),$B$9)+MAX(0,($A53*F$39)-$B$9)*$B$10,$B$11)</f>
        <v>500</v>
      </c>
      <c r="G53" s="20" t="n">
        <f aca="false">MIN(MIN(($A53*G$39),$B$9)+MAX(0,($A53*G$39)-$B$9)*$B$10,$B$11)</f>
        <v>500</v>
      </c>
    </row>
    <row r="54" customFormat="false" ht="15" hidden="false" customHeight="false" outlineLevel="0" collapsed="false">
      <c r="A54" s="2" t="s">
        <v>31</v>
      </c>
    </row>
    <row r="56" customFormat="false" ht="15" hidden="false" customHeight="false" outlineLevel="0" collapsed="false">
      <c r="A56" s="3" t="s">
        <v>32</v>
      </c>
    </row>
    <row r="57" customFormat="false" ht="15" hidden="false" customHeight="false" outlineLevel="0" collapsed="false">
      <c r="A57" s="23" t="s">
        <v>33</v>
      </c>
      <c r="B57" s="4" t="s">
        <v>34</v>
      </c>
    </row>
    <row r="58" customFormat="false" ht="15" hidden="false" customHeight="false" outlineLevel="0" collapsed="false">
      <c r="A58" s="24" t="s">
        <v>35</v>
      </c>
      <c r="B58" s="4" t="s">
        <v>36</v>
      </c>
    </row>
    <row r="59" customFormat="false" ht="15" hidden="false" customHeight="false" outlineLevel="0" collapsed="false">
      <c r="A59" s="25" t="s">
        <v>37</v>
      </c>
      <c r="B59" s="4" t="s">
        <v>38</v>
      </c>
    </row>
    <row r="60" customFormat="false" ht="15" hidden="false" customHeight="false" outlineLevel="0" collapsed="false">
      <c r="A60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2026-09-02T22:17:01Z</dcterms:created>
  <dc:creator>openpyxl</dc:creator>
  <dc:description/>
  <dc:language>en-US</dc:language>
  <cp:lastModifiedBy/>
  <dcterms:modified xsi:type="dcterms:W3CDTF">2026-09-02T22:17:01Z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