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J Pay" sheetId="1" state="visible" r:id="rId3"/>
    <sheet name="Two DJ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<sst xmlns="http://schemas.openxmlformats.org/spreadsheetml/2006/main" count="94" uniqueCount="72">
  <si>
    <t xml:space="preserve">Azúcar · DJ Door Split</t>
  </si>
  <si>
    <t xml:space="preserve">Type in the yellow cells (blue text). Everything else recalculates.</t>
  </si>
  <si>
    <t xml:space="preserve">TONIGHT</t>
  </si>
  <si>
    <t xml:space="preserve">Cover charge per person</t>
  </si>
  <si>
    <t xml:space="preserve">People through the door</t>
  </si>
  <si>
    <t xml:space="preserve">DEAL TERMS</t>
  </si>
  <si>
    <t xml:space="preserve">DJ's first dollars (100% to DJ)</t>
  </si>
  <si>
    <t xml:space="preserve">Standard deal per your agreement with the DJ. Change only if the deal changes.</t>
  </si>
  <si>
    <t xml:space="preserve">DJ share after that</t>
  </si>
  <si>
    <t xml:space="preserve">DJ cap for the night</t>
  </si>
  <si>
    <t xml:space="preserve">TONIGHT'S SPLIT</t>
  </si>
  <si>
    <t xml:space="preserve">Door total</t>
  </si>
  <si>
    <t xml:space="preserve">DJ gets</t>
  </si>
  <si>
    <t xml:space="preserve">You keep</t>
  </si>
  <si>
    <t xml:space="preserve">Door total at which the DJ is capped</t>
  </si>
  <si>
    <t xml:space="preserve">People needed to cap the DJ at this cover</t>
  </si>
  <si>
    <t xml:space="preserve">Status</t>
  </si>
  <si>
    <t xml:space="preserve">WHERE EACH DOLLAR GOES</t>
  </si>
  <si>
    <t xml:space="preserve">Tier</t>
  </si>
  <si>
    <t xml:space="preserve">Door in tier</t>
  </si>
  <si>
    <t xml:space="preserve">DJ</t>
  </si>
  <si>
    <t xml:space="preserve">You</t>
  </si>
  <si>
    <t xml:space="preserve">Total</t>
  </si>
  <si>
    <t xml:space="preserve">HOW MANY PEOPLE TO REACH THE CAP</t>
  </si>
  <si>
    <t xml:space="preserve">Cover charge</t>
  </si>
  <si>
    <t xml:space="preserve">DJ clears first dollars</t>
  </si>
  <si>
    <t xml:space="preserve">DJ hits the cap</t>
  </si>
  <si>
    <t xml:space="preserve">Door at cap</t>
  </si>
  <si>
    <t xml:space="preserve">Cover charges in this column are editable too.</t>
  </si>
  <si>
    <t xml:space="preserve">DJ PAY BY HEADCOUNT AND COVER</t>
  </si>
  <si>
    <t xml:space="preserve">People ↓  /  Cover →</t>
  </si>
  <si>
    <t xml:space="preserve">Each cell is what the DJ is paid. Headcounts in column A are editable.</t>
  </si>
  <si>
    <t xml:space="preserve">LEGEND</t>
  </si>
  <si>
    <t xml:space="preserve">Yellow cell, blue text</t>
  </si>
  <si>
    <t xml:space="preserve">You type here</t>
  </si>
  <si>
    <t xml:space="preserve">Pink</t>
  </si>
  <si>
    <t xml:space="preserve">DJ's money</t>
  </si>
  <si>
    <t xml:space="preserve">Gold</t>
  </si>
  <si>
    <t xml:space="preserve">Your money</t>
  </si>
  <si>
    <t xml:space="preserve">Rule: first $200 at the door goes to the DJ, then 50/50 until the DJ reaches $500, then 100% to you. Amounts come from your deal with the DJ.</t>
  </si>
  <si>
    <t xml:space="preserve">HIT THE CAP AT A TARGET HEADCOUNT</t>
  </si>
  <si>
    <t xml:space="preserve">Pick a headcount you want the DJ to reach the cap at. Each row below solves for the one deal term that gets you there, holding the other two fixed.</t>
  </si>
  <si>
    <t xml:space="preserve">Target headcount</t>
  </si>
  <si>
    <t xml:space="preserve">At this cover charge</t>
  </si>
  <si>
    <t xml:space="preserve">Door total at target</t>
  </si>
  <si>
    <t xml:space="preserve">Adjust</t>
  </si>
  <si>
    <t xml:space="preserve">New value</t>
  </si>
  <si>
    <t xml:space="preserve">Lower the split (keep guarantee &amp; cap)</t>
  </si>
  <si>
    <t xml:space="preserve">Change the guarantee (keep split &amp; cap)</t>
  </si>
  <si>
    <t xml:space="preserve">Change the cap (keep guarantee &amp; split)</t>
  </si>
  <si>
    <t xml:space="preserve">Pick one option and type it into Deal Terms above (B9, B10 or B11) — the sheet recalculates everything else.</t>
  </si>
  <si>
    <t xml:space="preserve">Azúcar · Two DJs</t>
  </si>
  <si>
    <t xml:space="preserve">DJ1 gets his first dollars → DJ2 gets his cut → back to the DJ1/house split until DJ1 caps → then it's all yours.</t>
  </si>
  <si>
    <t xml:space="preserve">DJ1's first dollars (100% to DJ1)</t>
  </si>
  <si>
    <t xml:space="preserve">DJ2's pay is a flat cut — it isn't capped separately, it's just this one amount.</t>
  </si>
  <si>
    <t xml:space="preserve">DJ2's cut, right after that (100% to DJ2)</t>
  </si>
  <si>
    <t xml:space="preserve">DJ1 share after DJ2 is paid</t>
  </si>
  <si>
    <t xml:space="preserve">DJ1 cap for the night</t>
  </si>
  <si>
    <t xml:space="preserve">DJ1 gets</t>
  </si>
  <si>
    <t xml:space="preserve">DJ2 gets</t>
  </si>
  <si>
    <t xml:space="preserve">Door total at which DJ1 is capped</t>
  </si>
  <si>
    <t xml:space="preserve">People needed to cap DJ1 at this cover</t>
  </si>
  <si>
    <t xml:space="preserve">DJ1</t>
  </si>
  <si>
    <t xml:space="preserve">DJ2</t>
  </si>
  <si>
    <t xml:space="preserve">DJ1 / DJ2 / YOU BY HEADCOUNT (AT TONIGHT'S COVER)</t>
  </si>
  <si>
    <t xml:space="preserve">People</t>
  </si>
  <si>
    <t xml:space="preserve">Door</t>
  </si>
  <si>
    <t xml:space="preserve">Headcounts in column A are editable. Each row uses tonight's cover charge (B5).</t>
  </si>
  <si>
    <t xml:space="preserve">DJ1's money</t>
  </si>
  <si>
    <t xml:space="preserve">Blue</t>
  </si>
  <si>
    <t xml:space="preserve">DJ2's money</t>
  </si>
  <si>
    <t xml:space="preserve">Rule: DJ1's first dollars go 100% to DJ1, then DJ2's cut goes 100% to DJ2, then it's back to DJ1's split with the house until DJ1 hits his cap — after that, everything is yours.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</si>
</sst>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"/>
    <numFmt numFmtId="167" formatCode="0%"/>
    <numFmt numFmtId="168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C0006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3EF"/>
        <bgColor rgb="FFEEEEEE"/>
      </patternFill>
    </fill>
    <fill>
      <patternFill patternType="solid">
        <fgColor rgb="FFFFF1D6"/>
        <bgColor rgb="FFEEEEEE"/>
      </patternFill>
    </fill>
    <fill>
      <patternFill patternType="solid">
        <fgColor rgb="FFEEEEEE"/>
        <bgColor rgb="FFDCEEFF"/>
      </patternFill>
    </fill>
    <fill>
      <patternFill patternType="solid">
        <fgColor rgb="FFDCEE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A"/>
      <rgbColor rgb="FF008080"/>
      <rgbColor rgb="FFBBBBBB"/>
      <rgbColor rgb="FF808080"/>
      <rgbColor rgb="FF9999FF"/>
      <rgbColor rgb="FF993366"/>
      <rgbColor rgb="FFFFF1D6"/>
      <rgbColor rgb="FFDC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3EF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</v>
      </c>
    </row>
    <row r="6" customFormat="false" ht="15" hidden="false" customHeight="false" outlineLevel="0" collapsed="false">
      <c r="A6" s="4" t="s">
        <v>4</v>
      </c>
      <c r="B6" s="6" t="n">
        <v>50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  <c r="B9" s="5" t="n">
        <v>200</v>
      </c>
      <c r="C9" s="2" t="s">
        <v>7</v>
      </c>
    </row>
    <row r="10" customFormat="false" ht="15" hidden="false" customHeight="false" outlineLevel="0" collapsed="false">
      <c r="A10" s="4" t="s">
        <v>8</v>
      </c>
      <c r="B10" s="7" t="n">
        <v>0.5</v>
      </c>
    </row>
    <row r="11" customFormat="false" ht="15" hidden="false" customHeight="false" outlineLevel="0" collapsed="false">
      <c r="A11" s="4" t="s">
        <v>9</v>
      </c>
      <c r="B11" s="5" t="n">
        <v>500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8" t="n">
        <f aca="false">B5*B6</f>
        <v>500</v>
      </c>
    </row>
    <row r="15" customFormat="false" ht="15" hidden="false" customHeight="false" outlineLevel="0" collapsed="false">
      <c r="A15" s="4" t="s">
        <v>12</v>
      </c>
      <c r="B15" s="9" t="n">
        <f aca="false">MIN(MIN(B14,B9)+MAX(0,B14-B9)*B10,B11)</f>
        <v>350</v>
      </c>
    </row>
    <row r="16" customFormat="false" ht="15" hidden="false" customHeight="false" outlineLevel="0" collapsed="false">
      <c r="A16" s="4" t="s">
        <v>13</v>
      </c>
      <c r="B16" s="10" t="n">
        <f aca="false">B14-B15</f>
        <v>150</v>
      </c>
    </row>
    <row r="17" customFormat="false" ht="15" hidden="false" customHeight="false" outlineLevel="0" collapsed="false">
      <c r="A17" s="4" t="s">
        <v>14</v>
      </c>
      <c r="B17" s="11" t="n">
        <f aca="false">IF(B11&lt;=B9,B11,IF(B10&lt;=0,"never",B9+(B11-B9)/B10))</f>
        <v>800</v>
      </c>
    </row>
    <row r="18" customFormat="false" ht="15" hidden="false" customHeight="false" outlineLevel="0" collapsed="false">
      <c r="A18" s="4" t="s">
        <v>15</v>
      </c>
      <c r="B18" s="12" t="n">
        <f aca="false">IF(OR(B5&lt;=0,NOT(ISNUMBER(B17))),"never",ROUNDUP(B17/B5,0))</f>
        <v>80</v>
      </c>
    </row>
    <row r="19" customFormat="false" ht="15" hidden="false" customHeight="false" outlineLevel="0" collapsed="false">
      <c r="A19" s="4" t="s">
        <v>16</v>
      </c>
      <c r="B19" s="4" t="str">
        <f aca="false">IF(B14=0,"No door yet",IF(B15&gt;=B11,"DJ capped, rest is yours",IF(B14&lt;=B9,"Still inside DJ's first $"&amp;TEXT(B9,"0"),"DJ is $"&amp;TEXT(B11-B15,"0")&amp;" short of cap")))</f>
        <v>DJ is $150 short of cap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13" t="s">
        <v>18</v>
      </c>
      <c r="B22" s="14" t="s">
        <v>19</v>
      </c>
      <c r="C22" s="14" t="s">
        <v>20</v>
      </c>
      <c r="D22" s="14" t="s">
        <v>21</v>
      </c>
    </row>
    <row r="23" customFormat="false" ht="15" hidden="false" customHeight="false" outlineLevel="0" collapsed="false">
      <c r="A23" s="4" t="str">
        <f aca="false">"First $"&amp;TEXT(B9,"0")&amp;" (100% to DJ)"</f>
        <v>First $200 (100% to DJ)</v>
      </c>
      <c r="B23" s="11" t="n">
        <f aca="false">MIN(B14,B9)</f>
        <v>200</v>
      </c>
      <c r="C23" s="15" t="n">
        <f aca="false">B23</f>
        <v>200</v>
      </c>
      <c r="D23" s="16" t="n">
        <f aca="false">0</f>
        <v>0</v>
      </c>
    </row>
    <row r="24" customFormat="false" ht="15" hidden="false" customHeight="false" outlineLevel="0" collapsed="false">
      <c r="A24" s="4" t="str">
        <f aca="false">"Next dollars (DJ "&amp;TEXT(B10,"0%")&amp;" / you "&amp;TEXT(1-B10,"0%")&amp;")"</f>
        <v>Next dollars (DJ 50% / you 50%)</v>
      </c>
      <c r="B24" s="11" t="n">
        <f aca="false">IF(ISNUMBER(B17),MAX(0,MIN(B14-B9,B17-B9)),MAX(0,B14-B9))</f>
        <v>300</v>
      </c>
      <c r="C24" s="15" t="n">
        <f aca="false">B24*B10</f>
        <v>150</v>
      </c>
      <c r="D24" s="16" t="n">
        <f aca="false">B24-C24</f>
        <v>150</v>
      </c>
    </row>
    <row r="25" customFormat="false" ht="15" hidden="false" customHeight="false" outlineLevel="0" collapsed="false">
      <c r="A25" s="4" t="str">
        <f aca="false">IF(ISNUMBER(B17),"Above $"&amp;TEXT(B17,"0")&amp;" (DJ capped, 100% to you)","Above cap (n/a)")</f>
        <v>Above $800 (DJ capped, 100% to you)</v>
      </c>
      <c r="B25" s="11" t="n">
        <f aca="false">IF(ISNUMBER(B17),MAX(0,B14-B17),0)</f>
        <v>0</v>
      </c>
      <c r="C25" s="15" t="n">
        <f aca="false">0</f>
        <v>0</v>
      </c>
      <c r="D25" s="16" t="n">
        <f aca="false">B25</f>
        <v>0</v>
      </c>
    </row>
    <row r="26" customFormat="false" ht="15" hidden="false" customHeight="false" outlineLevel="0" collapsed="false">
      <c r="A26" s="17" t="s">
        <v>22</v>
      </c>
      <c r="B26" s="8" t="n">
        <f aca="false">SUM(B23:B25)</f>
        <v>500</v>
      </c>
      <c r="C26" s="9" t="n">
        <f aca="false">SUM(C23:C25)</f>
        <v>350</v>
      </c>
      <c r="D26" s="10" t="n">
        <f aca="false">SUM(D23:D25)</f>
        <v>150</v>
      </c>
      <c r="E26" s="2" t="str">
        <f aca="false">IF(ROUND(C26-B15,2)=0,"check ok","CHECK: tiers do not match DJ pay")</f>
        <v>check ok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13" t="s">
        <v>24</v>
      </c>
      <c r="B29" s="14" t="s">
        <v>25</v>
      </c>
      <c r="C29" s="14" t="s">
        <v>26</v>
      </c>
      <c r="D29" s="14" t="s">
        <v>27</v>
      </c>
    </row>
    <row r="30" customFormat="false" ht="15" hidden="false" customHeight="false" outlineLevel="0" collapsed="false">
      <c r="A30" s="18" t="n">
        <v>5</v>
      </c>
      <c r="B30" s="19" t="n">
        <f aca="false">IF(A30&lt;=0,"-",ROUNDUP($B$9/A30,0))</f>
        <v>40</v>
      </c>
      <c r="C30" s="12" t="n">
        <f aca="false">IF(OR(A30&lt;=0,NOT(ISNUMBER($B$17))),"never",ROUNDUP($B$17/A30,0))</f>
        <v>160</v>
      </c>
      <c r="D30" s="20" t="n">
        <f aca="false">IF(ISNUMBER($B$17),$B$17,"-")</f>
        <v>800</v>
      </c>
    </row>
    <row r="31" customFormat="false" ht="15" hidden="false" customHeight="false" outlineLevel="0" collapsed="false">
      <c r="A31" s="18" t="n">
        <v>10</v>
      </c>
      <c r="B31" s="19" t="n">
        <f aca="false">IF(A31&lt;=0,"-",ROUNDUP($B$9/A31,0))</f>
        <v>20</v>
      </c>
      <c r="C31" s="12" t="n">
        <f aca="false">IF(OR(A31&lt;=0,NOT(ISNUMBER($B$17))),"never",ROUNDUP($B$17/A31,0))</f>
        <v>80</v>
      </c>
      <c r="D31" s="20" t="n">
        <f aca="false">IF(ISNUMBER($B$17),$B$17,"-")</f>
        <v>800</v>
      </c>
    </row>
    <row r="32" customFormat="false" ht="15" hidden="false" customHeight="false" outlineLevel="0" collapsed="false">
      <c r="A32" s="18" t="n">
        <v>15</v>
      </c>
      <c r="B32" s="19" t="n">
        <f aca="false">IF(A32&lt;=0,"-",ROUNDUP($B$9/A32,0))</f>
        <v>14</v>
      </c>
      <c r="C32" s="12" t="n">
        <f aca="false">IF(OR(A32&lt;=0,NOT(ISNUMBER($B$17))),"never",ROUNDUP($B$17/A32,0))</f>
        <v>54</v>
      </c>
      <c r="D32" s="20" t="n">
        <f aca="false">IF(ISNUMBER($B$17),$B$17,"-")</f>
        <v>800</v>
      </c>
    </row>
    <row r="33" customFormat="false" ht="15" hidden="false" customHeight="false" outlineLevel="0" collapsed="false">
      <c r="A33" s="18" t="n">
        <v>20</v>
      </c>
      <c r="B33" s="19" t="n">
        <f aca="false">IF(A33&lt;=0,"-",ROUNDUP($B$9/A33,0))</f>
        <v>10</v>
      </c>
      <c r="C33" s="12" t="n">
        <f aca="false">IF(OR(A33&lt;=0,NOT(ISNUMBER($B$17))),"never",ROUNDUP($B$17/A33,0))</f>
        <v>40</v>
      </c>
      <c r="D33" s="20" t="n">
        <f aca="false">IF(ISNUMBER($B$17),$B$17,"-")</f>
        <v>800</v>
      </c>
    </row>
    <row r="34" customFormat="false" ht="15" hidden="false" customHeight="false" outlineLevel="0" collapsed="false">
      <c r="A34" s="18" t="n">
        <v>25</v>
      </c>
      <c r="B34" s="19" t="n">
        <f aca="false">IF(A34&lt;=0,"-",ROUNDUP($B$9/A34,0))</f>
        <v>8</v>
      </c>
      <c r="C34" s="12" t="n">
        <f aca="false">IF(OR(A34&lt;=0,NOT(ISNUMBER($B$17))),"never",ROUNDUP($B$17/A34,0))</f>
        <v>32</v>
      </c>
      <c r="D34" s="20" t="n">
        <f aca="false">IF(ISNUMBER($B$17),$B$17,"-")</f>
        <v>800</v>
      </c>
    </row>
    <row r="35" customFormat="false" ht="15" hidden="false" customHeight="false" outlineLevel="0" collapsed="false">
      <c r="A35" s="18" t="n">
        <v>30</v>
      </c>
      <c r="B35" s="19" t="n">
        <f aca="false">IF(A35&lt;=0,"-",ROUNDUP($B$9/A35,0))</f>
        <v>7</v>
      </c>
      <c r="C35" s="12" t="n">
        <f aca="false">IF(OR(A35&lt;=0,NOT(ISNUMBER($B$17))),"never",ROUNDUP($B$17/A35,0))</f>
        <v>27</v>
      </c>
      <c r="D35" s="20" t="n">
        <f aca="false">IF(ISNUMBER($B$17),$B$17,"-")</f>
        <v>800</v>
      </c>
    </row>
    <row r="36" customFormat="false" ht="15" hidden="false" customHeight="false" outlineLevel="0" collapsed="false">
      <c r="A36" s="2" t="s">
        <v>28</v>
      </c>
    </row>
    <row r="38" customFormat="false" ht="15" hidden="false" customHeight="false" outlineLevel="0" collapsed="false">
      <c r="A38" s="3" t="s">
        <v>29</v>
      </c>
    </row>
    <row r="39" customFormat="false" ht="15" hidden="false" customHeight="false" outlineLevel="0" collapsed="false">
      <c r="A39" s="13" t="s">
        <v>30</v>
      </c>
      <c r="B39" s="21" t="n">
        <f aca="false">A30</f>
        <v>5</v>
      </c>
      <c r="C39" s="21" t="n">
        <f aca="false">A31</f>
        <v>10</v>
      </c>
      <c r="D39" s="21" t="n">
        <f aca="false">A32</f>
        <v>15</v>
      </c>
      <c r="E39" s="21" t="n">
        <f aca="false">A33</f>
        <v>20</v>
      </c>
      <c r="F39" s="21" t="n">
        <f aca="false">A34</f>
        <v>25</v>
      </c>
      <c r="G39" s="21" t="n">
        <f aca="false">A35</f>
        <v>30</v>
      </c>
    </row>
    <row r="40" customFormat="false" ht="15" hidden="false" customHeight="false" outlineLevel="0" collapsed="false">
      <c r="A40" s="22" t="n">
        <v>5</v>
      </c>
      <c r="B40" s="20" t="n">
        <f aca="false">MIN(MIN(($A40*B$39),$B$9)+MAX(0,($A40*B$39)-$B$9)*$B$10,$B$11)</f>
        <v>25</v>
      </c>
      <c r="C40" s="20" t="n">
        <f aca="false">MIN(MIN(($A40*C$39),$B$9)+MAX(0,($A40*C$39)-$B$9)*$B$10,$B$11)</f>
        <v>50</v>
      </c>
      <c r="D40" s="20" t="n">
        <f aca="false">MIN(MIN(($A40*D$39),$B$9)+MAX(0,($A40*D$39)-$B$9)*$B$10,$B$11)</f>
        <v>75</v>
      </c>
      <c r="E40" s="20" t="n">
        <f aca="false">MIN(MIN(($A40*E$39),$B$9)+MAX(0,($A40*E$39)-$B$9)*$B$10,$B$11)</f>
        <v>100</v>
      </c>
      <c r="F40" s="20" t="n">
        <f aca="false">MIN(MIN(($A40*F$39),$B$9)+MAX(0,($A40*F$39)-$B$9)*$B$10,$B$11)</f>
        <v>125</v>
      </c>
      <c r="G40" s="20" t="n">
        <f aca="false">MIN(MIN(($A40*G$39),$B$9)+MAX(0,($A40*G$39)-$B$9)*$B$10,$B$11)</f>
        <v>150</v>
      </c>
    </row>
    <row r="41" customFormat="false" ht="15" hidden="false" customHeight="false" outlineLevel="0" collapsed="false">
      <c r="A41" s="22" t="n">
        <v>10</v>
      </c>
      <c r="B41" s="20" t="n">
        <f aca="false">MIN(MIN(($A41*B$39),$B$9)+MAX(0,($A41*B$39)-$B$9)*$B$10,$B$11)</f>
        <v>50</v>
      </c>
      <c r="C41" s="20" t="n">
        <f aca="false">MIN(MIN(($A41*C$39),$B$9)+MAX(0,($A41*C$39)-$B$9)*$B$10,$B$11)</f>
        <v>100</v>
      </c>
      <c r="D41" s="20" t="n">
        <f aca="false">MIN(MIN(($A41*D$39),$B$9)+MAX(0,($A41*D$39)-$B$9)*$B$10,$B$11)</f>
        <v>150</v>
      </c>
      <c r="E41" s="20" t="n">
        <f aca="false">MIN(MIN(($A41*E$39),$B$9)+MAX(0,($A41*E$39)-$B$9)*$B$10,$B$11)</f>
        <v>200</v>
      </c>
      <c r="F41" s="20" t="n">
        <f aca="false">MIN(MIN(($A41*F$39),$B$9)+MAX(0,($A41*F$39)-$B$9)*$B$10,$B$11)</f>
        <v>225</v>
      </c>
      <c r="G41" s="20" t="n">
        <f aca="false">MIN(MIN(($A41*G$39),$B$9)+MAX(0,($A41*G$39)-$B$9)*$B$10,$B$11)</f>
        <v>250</v>
      </c>
    </row>
    <row r="42" customFormat="false" ht="15" hidden="false" customHeight="false" outlineLevel="0" collapsed="false">
      <c r="A42" s="22" t="n">
        <v>15</v>
      </c>
      <c r="B42" s="20" t="n">
        <f aca="false">MIN(MIN(($A42*B$39),$B$9)+MAX(0,($A42*B$39)-$B$9)*$B$10,$B$11)</f>
        <v>75</v>
      </c>
      <c r="C42" s="20" t="n">
        <f aca="false">MIN(MIN(($A42*C$39),$B$9)+MAX(0,($A42*C$39)-$B$9)*$B$10,$B$11)</f>
        <v>150</v>
      </c>
      <c r="D42" s="20" t="n">
        <f aca="false">MIN(MIN(($A42*D$39),$B$9)+MAX(0,($A42*D$39)-$B$9)*$B$10,$B$11)</f>
        <v>212.5</v>
      </c>
      <c r="E42" s="20" t="n">
        <f aca="false">MIN(MIN(($A42*E$39),$B$9)+MAX(0,($A42*E$39)-$B$9)*$B$10,$B$11)</f>
        <v>250</v>
      </c>
      <c r="F42" s="20" t="n">
        <f aca="false">MIN(MIN(($A42*F$39),$B$9)+MAX(0,($A42*F$39)-$B$9)*$B$10,$B$11)</f>
        <v>287.5</v>
      </c>
      <c r="G42" s="20" t="n">
        <f aca="false">MIN(MIN(($A42*G$39),$B$9)+MAX(0,($A42*G$39)-$B$9)*$B$10,$B$11)</f>
        <v>325</v>
      </c>
    </row>
    <row r="43" customFormat="false" ht="15" hidden="false" customHeight="false" outlineLevel="0" collapsed="false">
      <c r="A43" s="22" t="n">
        <v>20</v>
      </c>
      <c r="B43" s="20" t="n">
        <f aca="false">MIN(MIN(($A43*B$39),$B$9)+MAX(0,($A43*B$39)-$B$9)*$B$10,$B$11)</f>
        <v>100</v>
      </c>
      <c r="C43" s="20" t="n">
        <f aca="false">MIN(MIN(($A43*C$39),$B$9)+MAX(0,($A43*C$39)-$B$9)*$B$10,$B$11)</f>
        <v>200</v>
      </c>
      <c r="D43" s="20" t="n">
        <f aca="false">MIN(MIN(($A43*D$39),$B$9)+MAX(0,($A43*D$39)-$B$9)*$B$10,$B$11)</f>
        <v>250</v>
      </c>
      <c r="E43" s="20" t="n">
        <f aca="false">MIN(MIN(($A43*E$39),$B$9)+MAX(0,($A43*E$39)-$B$9)*$B$10,$B$11)</f>
        <v>300</v>
      </c>
      <c r="F43" s="20" t="n">
        <f aca="false">MIN(MIN(($A43*F$39),$B$9)+MAX(0,($A43*F$39)-$B$9)*$B$10,$B$11)</f>
        <v>350</v>
      </c>
      <c r="G43" s="20" t="n">
        <f aca="false">MIN(MIN(($A43*G$39),$B$9)+MAX(0,($A43*G$39)-$B$9)*$B$10,$B$11)</f>
        <v>400</v>
      </c>
    </row>
    <row r="44" customFormat="false" ht="15" hidden="false" customHeight="false" outlineLevel="0" collapsed="false">
      <c r="A44" s="22" t="n">
        <v>25</v>
      </c>
      <c r="B44" s="20" t="n">
        <f aca="false">MIN(MIN(($A44*B$39),$B$9)+MAX(0,($A44*B$39)-$B$9)*$B$10,$B$11)</f>
        <v>125</v>
      </c>
      <c r="C44" s="20" t="n">
        <f aca="false">MIN(MIN(($A44*C$39),$B$9)+MAX(0,($A44*C$39)-$B$9)*$B$10,$B$11)</f>
        <v>225</v>
      </c>
      <c r="D44" s="20" t="n">
        <f aca="false">MIN(MIN(($A44*D$39),$B$9)+MAX(0,($A44*D$39)-$B$9)*$B$10,$B$11)</f>
        <v>287.5</v>
      </c>
      <c r="E44" s="20" t="n">
        <f aca="false">MIN(MIN(($A44*E$39),$B$9)+MAX(0,($A44*E$39)-$B$9)*$B$10,$B$11)</f>
        <v>350</v>
      </c>
      <c r="F44" s="20" t="n">
        <f aca="false">MIN(MIN(($A44*F$39),$B$9)+MAX(0,($A44*F$39)-$B$9)*$B$10,$B$11)</f>
        <v>412.5</v>
      </c>
      <c r="G44" s="20" t="n">
        <f aca="false">MIN(MIN(($A44*G$39),$B$9)+MAX(0,($A44*G$39)-$B$9)*$B$10,$B$11)</f>
        <v>475</v>
      </c>
    </row>
    <row r="45" customFormat="false" ht="15" hidden="false" customHeight="false" outlineLevel="0" collapsed="false">
      <c r="A45" s="22" t="n">
        <v>30</v>
      </c>
      <c r="B45" s="20" t="n">
        <f aca="false">MIN(MIN(($A45*B$39),$B$9)+MAX(0,($A45*B$39)-$B$9)*$B$10,$B$11)</f>
        <v>150</v>
      </c>
      <c r="C45" s="20" t="n">
        <f aca="false">MIN(MIN(($A45*C$39),$B$9)+MAX(0,($A45*C$39)-$B$9)*$B$10,$B$11)</f>
        <v>250</v>
      </c>
      <c r="D45" s="20" t="n">
        <f aca="false">MIN(MIN(($A45*D$39),$B$9)+MAX(0,($A45*D$39)-$B$9)*$B$10,$B$11)</f>
        <v>325</v>
      </c>
      <c r="E45" s="20" t="n">
        <f aca="false">MIN(MIN(($A45*E$39),$B$9)+MAX(0,($A45*E$39)-$B$9)*$B$10,$B$11)</f>
        <v>400</v>
      </c>
      <c r="F45" s="20" t="n">
        <f aca="false">MIN(MIN(($A45*F$39),$B$9)+MAX(0,($A45*F$39)-$B$9)*$B$10,$B$11)</f>
        <v>475</v>
      </c>
      <c r="G45" s="20" t="n">
        <f aca="false">MIN(MIN(($A45*G$39),$B$9)+MAX(0,($A45*G$39)-$B$9)*$B$10,$B$11)</f>
        <v>500</v>
      </c>
    </row>
    <row r="46" customFormat="false" ht="15" hidden="false" customHeight="false" outlineLevel="0" collapsed="false">
      <c r="A46" s="22" t="n">
        <v>40</v>
      </c>
      <c r="B46" s="20" t="n">
        <f aca="false">MIN(MIN(($A46*B$39),$B$9)+MAX(0,($A46*B$39)-$B$9)*$B$10,$B$11)</f>
        <v>200</v>
      </c>
      <c r="C46" s="20" t="n">
        <f aca="false">MIN(MIN(($A46*C$39),$B$9)+MAX(0,($A46*C$39)-$B$9)*$B$10,$B$11)</f>
        <v>300</v>
      </c>
      <c r="D46" s="20" t="n">
        <f aca="false">MIN(MIN(($A46*D$39),$B$9)+MAX(0,($A46*D$39)-$B$9)*$B$10,$B$11)</f>
        <v>400</v>
      </c>
      <c r="E46" s="20" t="n">
        <f aca="false">MIN(MIN(($A46*E$39),$B$9)+MAX(0,($A46*E$39)-$B$9)*$B$10,$B$11)</f>
        <v>500</v>
      </c>
      <c r="F46" s="20" t="n">
        <f aca="false">MIN(MIN(($A46*F$39),$B$9)+MAX(0,($A46*F$39)-$B$9)*$B$10,$B$11)</f>
        <v>500</v>
      </c>
      <c r="G46" s="20" t="n">
        <f aca="false">MIN(MIN(($A46*G$39),$B$9)+MAX(0,($A46*G$39)-$B$9)*$B$10,$B$11)</f>
        <v>500</v>
      </c>
    </row>
    <row r="47" customFormat="false" ht="15" hidden="false" customHeight="false" outlineLevel="0" collapsed="false">
      <c r="A47" s="22" t="n">
        <v>50</v>
      </c>
      <c r="B47" s="20" t="n">
        <f aca="false">MIN(MIN(($A47*B$39),$B$9)+MAX(0,($A47*B$39)-$B$9)*$B$10,$B$11)</f>
        <v>225</v>
      </c>
      <c r="C47" s="20" t="n">
        <f aca="false">MIN(MIN(($A47*C$39),$B$9)+MAX(0,($A47*C$39)-$B$9)*$B$10,$B$11)</f>
        <v>350</v>
      </c>
      <c r="D47" s="20" t="n">
        <f aca="false">MIN(MIN(($A47*D$39),$B$9)+MAX(0,($A47*D$39)-$B$9)*$B$10,$B$11)</f>
        <v>475</v>
      </c>
      <c r="E47" s="20" t="n">
        <f aca="false">MIN(MIN(($A47*E$39),$B$9)+MAX(0,($A47*E$39)-$B$9)*$B$10,$B$11)</f>
        <v>500</v>
      </c>
      <c r="F47" s="20" t="n">
        <f aca="false">MIN(MIN(($A47*F$39),$B$9)+MAX(0,($A47*F$39)-$B$9)*$B$10,$B$11)</f>
        <v>500</v>
      </c>
      <c r="G47" s="20" t="n">
        <f aca="false">MIN(MIN(($A47*G$39),$B$9)+MAX(0,($A47*G$39)-$B$9)*$B$10,$B$11)</f>
        <v>500</v>
      </c>
    </row>
    <row r="48" customFormat="false" ht="15" hidden="false" customHeight="false" outlineLevel="0" collapsed="false">
      <c r="A48" s="22" t="n">
        <v>60</v>
      </c>
      <c r="B48" s="20" t="n">
        <f aca="false">MIN(MIN(($A48*B$39),$B$9)+MAX(0,($A48*B$39)-$B$9)*$B$10,$B$11)</f>
        <v>250</v>
      </c>
      <c r="C48" s="20" t="n">
        <f aca="false">MIN(MIN(($A48*C$39),$B$9)+MAX(0,($A48*C$39)-$B$9)*$B$10,$B$11)</f>
        <v>400</v>
      </c>
      <c r="D48" s="20" t="n">
        <f aca="false">MIN(MIN(($A48*D$39),$B$9)+MAX(0,($A48*D$39)-$B$9)*$B$10,$B$11)</f>
        <v>500</v>
      </c>
      <c r="E48" s="20" t="n">
        <f aca="false">MIN(MIN(($A48*E$39),$B$9)+MAX(0,($A48*E$39)-$B$9)*$B$10,$B$11)</f>
        <v>500</v>
      </c>
      <c r="F48" s="20" t="n">
        <f aca="false">MIN(MIN(($A48*F$39),$B$9)+MAX(0,($A48*F$39)-$B$9)*$B$10,$B$11)</f>
        <v>500</v>
      </c>
      <c r="G48" s="20" t="n">
        <f aca="false">MIN(MIN(($A48*G$39),$B$9)+MAX(0,($A48*G$39)-$B$9)*$B$10,$B$11)</f>
        <v>500</v>
      </c>
    </row>
    <row r="49" customFormat="false" ht="15" hidden="false" customHeight="false" outlineLevel="0" collapsed="false">
      <c r="A49" s="22" t="n">
        <v>75</v>
      </c>
      <c r="B49" s="20" t="n">
        <f aca="false">MIN(MIN(($A49*B$39),$B$9)+MAX(0,($A49*B$39)-$B$9)*$B$10,$B$11)</f>
        <v>287.5</v>
      </c>
      <c r="C49" s="20" t="n">
        <f aca="false">MIN(MIN(($A49*C$39),$B$9)+MAX(0,($A49*C$39)-$B$9)*$B$10,$B$11)</f>
        <v>475</v>
      </c>
      <c r="D49" s="20" t="n">
        <f aca="false">MIN(MIN(($A49*D$39),$B$9)+MAX(0,($A49*D$39)-$B$9)*$B$10,$B$11)</f>
        <v>500</v>
      </c>
      <c r="E49" s="20" t="n">
        <f aca="false">MIN(MIN(($A49*E$39),$B$9)+MAX(0,($A49*E$39)-$B$9)*$B$10,$B$11)</f>
        <v>500</v>
      </c>
      <c r="F49" s="20" t="n">
        <f aca="false">MIN(MIN(($A49*F$39),$B$9)+MAX(0,($A49*F$39)-$B$9)*$B$10,$B$11)</f>
        <v>500</v>
      </c>
      <c r="G49" s="20" t="n">
        <f aca="false">MIN(MIN(($A49*G$39),$B$9)+MAX(0,($A49*G$39)-$B$9)*$B$10,$B$11)</f>
        <v>500</v>
      </c>
    </row>
    <row r="50" customFormat="false" ht="15" hidden="false" customHeight="false" outlineLevel="0" collapsed="false">
      <c r="A50" s="22" t="n">
        <v>100</v>
      </c>
      <c r="B50" s="20" t="n">
        <f aca="false">MIN(MIN(($A50*B$39),$B$9)+MAX(0,($A50*B$39)-$B$9)*$B$10,$B$11)</f>
        <v>350</v>
      </c>
      <c r="C50" s="20" t="n">
        <f aca="false">MIN(MIN(($A50*C$39),$B$9)+MAX(0,($A50*C$39)-$B$9)*$B$10,$B$11)</f>
        <v>500</v>
      </c>
      <c r="D50" s="20" t="n">
        <f aca="false">MIN(MIN(($A50*D$39),$B$9)+MAX(0,($A50*D$39)-$B$9)*$B$10,$B$11)</f>
        <v>500</v>
      </c>
      <c r="E50" s="20" t="n">
        <f aca="false">MIN(MIN(($A50*E$39),$B$9)+MAX(0,($A50*E$39)-$B$9)*$B$10,$B$11)</f>
        <v>500</v>
      </c>
      <c r="F50" s="20" t="n">
        <f aca="false">MIN(MIN(($A50*F$39),$B$9)+MAX(0,($A50*F$39)-$B$9)*$B$10,$B$11)</f>
        <v>500</v>
      </c>
      <c r="G50" s="20" t="n">
        <f aca="false">MIN(MIN(($A50*G$39),$B$9)+MAX(0,($A50*G$39)-$B$9)*$B$10,$B$11)</f>
        <v>500</v>
      </c>
    </row>
    <row r="51" customFormat="false" ht="15" hidden="false" customHeight="false" outlineLevel="0" collapsed="false">
      <c r="A51" s="22" t="n">
        <v>125</v>
      </c>
      <c r="B51" s="20" t="n">
        <f aca="false">MIN(MIN(($A51*B$39),$B$9)+MAX(0,($A51*B$39)-$B$9)*$B$10,$B$11)</f>
        <v>412.5</v>
      </c>
      <c r="C51" s="20" t="n">
        <f aca="false">MIN(MIN(($A51*C$39),$B$9)+MAX(0,($A51*C$39)-$B$9)*$B$10,$B$11)</f>
        <v>500</v>
      </c>
      <c r="D51" s="20" t="n">
        <f aca="false">MIN(MIN(($A51*D$39),$B$9)+MAX(0,($A51*D$39)-$B$9)*$B$10,$B$11)</f>
        <v>500</v>
      </c>
      <c r="E51" s="20" t="n">
        <f aca="false">MIN(MIN(($A51*E$39),$B$9)+MAX(0,($A51*E$39)-$B$9)*$B$10,$B$11)</f>
        <v>500</v>
      </c>
      <c r="F51" s="20" t="n">
        <f aca="false">MIN(MIN(($A51*F$39),$B$9)+MAX(0,($A51*F$39)-$B$9)*$B$10,$B$11)</f>
        <v>500</v>
      </c>
      <c r="G51" s="20" t="n">
        <f aca="false">MIN(MIN(($A51*G$39),$B$9)+MAX(0,($A51*G$39)-$B$9)*$B$10,$B$11)</f>
        <v>500</v>
      </c>
    </row>
    <row r="52" customFormat="false" ht="15" hidden="false" customHeight="false" outlineLevel="0" collapsed="false">
      <c r="A52" s="22" t="n">
        <v>150</v>
      </c>
      <c r="B52" s="20" t="n">
        <f aca="false">MIN(MIN(($A52*B$39),$B$9)+MAX(0,($A52*B$39)-$B$9)*$B$10,$B$11)</f>
        <v>475</v>
      </c>
      <c r="C52" s="20" t="n">
        <f aca="false">MIN(MIN(($A52*C$39),$B$9)+MAX(0,($A52*C$39)-$B$9)*$B$10,$B$11)</f>
        <v>500</v>
      </c>
      <c r="D52" s="20" t="n">
        <f aca="false">MIN(MIN(($A52*D$39),$B$9)+MAX(0,($A52*D$39)-$B$9)*$B$10,$B$11)</f>
        <v>500</v>
      </c>
      <c r="E52" s="20" t="n">
        <f aca="false">MIN(MIN(($A52*E$39),$B$9)+MAX(0,($A52*E$39)-$B$9)*$B$10,$B$11)</f>
        <v>500</v>
      </c>
      <c r="F52" s="20" t="n">
        <f aca="false">MIN(MIN(($A52*F$39),$B$9)+MAX(0,($A52*F$39)-$B$9)*$B$10,$B$11)</f>
        <v>500</v>
      </c>
      <c r="G52" s="20" t="n">
        <f aca="false">MIN(MIN(($A52*G$39),$B$9)+MAX(0,($A52*G$39)-$B$9)*$B$10,$B$11)</f>
        <v>500</v>
      </c>
    </row>
    <row r="53" customFormat="false" ht="15" hidden="false" customHeight="false" outlineLevel="0" collapsed="false">
      <c r="A53" s="22" t="n">
        <v>200</v>
      </c>
      <c r="B53" s="20" t="n">
        <f aca="false">MIN(MIN(($A53*B$39),$B$9)+MAX(0,($A53*B$39)-$B$9)*$B$10,$B$11)</f>
        <v>500</v>
      </c>
      <c r="C53" s="20" t="n">
        <f aca="false">MIN(MIN(($A53*C$39),$B$9)+MAX(0,($A53*C$39)-$B$9)*$B$10,$B$11)</f>
        <v>500</v>
      </c>
      <c r="D53" s="20" t="n">
        <f aca="false">MIN(MIN(($A53*D$39),$B$9)+MAX(0,($A53*D$39)-$B$9)*$B$10,$B$11)</f>
        <v>500</v>
      </c>
      <c r="E53" s="20" t="n">
        <f aca="false">MIN(MIN(($A53*E$39),$B$9)+MAX(0,($A53*E$39)-$B$9)*$B$10,$B$11)</f>
        <v>500</v>
      </c>
      <c r="F53" s="20" t="n">
        <f aca="false">MIN(MIN(($A53*F$39),$B$9)+MAX(0,($A53*F$39)-$B$9)*$B$10,$B$11)</f>
        <v>500</v>
      </c>
      <c r="G53" s="20" t="n">
        <f aca="false">MIN(MIN(($A53*G$39),$B$9)+MAX(0,($A53*G$39)-$B$9)*$B$10,$B$11)</f>
        <v>500</v>
      </c>
    </row>
    <row r="54" customFormat="false" ht="15" hidden="false" customHeight="false" outlineLevel="0" collapsed="false">
      <c r="A54" s="2" t="s">
        <v>31</v>
      </c>
    </row>
    <row r="56" customFormat="false" ht="15" hidden="false" customHeight="false" outlineLevel="0" collapsed="false">
      <c r="A56" s="3" t="s">
        <v>32</v>
      </c>
    </row>
    <row r="57" customFormat="false" ht="15" hidden="false" customHeight="false" outlineLevel="0" collapsed="false">
      <c r="A57" s="23" t="s">
        <v>33</v>
      </c>
      <c r="B57" s="4" t="s">
        <v>34</v>
      </c>
    </row>
    <row r="58" customFormat="false" ht="15" hidden="false" customHeight="false" outlineLevel="0" collapsed="false">
      <c r="A58" s="24" t="s">
        <v>35</v>
      </c>
      <c r="B58" s="4" t="s">
        <v>36</v>
      </c>
    </row>
    <row r="59" customFormat="false" ht="15" hidden="false" customHeight="false" outlineLevel="0" collapsed="false">
      <c r="A59" s="25" t="s">
        <v>37</v>
      </c>
      <c r="B59" s="4" t="s">
        <v>38</v>
      </c>
    </row>
    <row r="60" customFormat="false" ht="15" hidden="false" customHeight="false" outlineLevel="0" collapsed="false">
      <c r="A60" s="2" t="s">
        <v>39</v>
      </c>
    </row>
    <row r="62" customFormat="false" ht="15" hidden="false" customHeight="false" outlineLevel="0" collapsed="false">
      <c r="A62" s="3" t="s">
        <v>40</v>
      </c>
    </row>
    <row r="63" customFormat="false" ht="15" hidden="false" customHeight="false" outlineLevel="0" collapsed="false">
      <c r="A63" s="2" t="s">
        <v>41</v>
      </c>
    </row>
    <row r="64" customFormat="false" ht="15" hidden="false" customHeight="false" outlineLevel="0" collapsed="false">
      <c r="A64" s="4" t="s">
        <v>42</v>
      </c>
      <c r="B64" s="6" t="n">
        <v>100</v>
      </c>
    </row>
    <row r="65" customFormat="false" ht="15" hidden="false" customHeight="false" outlineLevel="0" collapsed="false">
      <c r="A65" s="4" t="s">
        <v>43</v>
      </c>
      <c r="B65" s="5" t="n">
        <v>10</v>
      </c>
    </row>
    <row r="66" customFormat="false" ht="15" hidden="false" customHeight="false" outlineLevel="0" collapsed="false">
      <c r="A66" s="4" t="s">
        <v>44</v>
      </c>
      <c r="B66" s="8" t="n">
        <f aca="false">$B$64*$B$65</f>
        <v>1000</v>
      </c>
    </row>
    <row r="68" customFormat="false" ht="15" hidden="false" customHeight="false" outlineLevel="0" collapsed="false">
      <c r="A68" s="13" t="s">
        <v>45</v>
      </c>
      <c r="B68" s="14" t="s">
        <v>46</v>
      </c>
      <c r="C68" s="14"/>
    </row>
    <row r="69" customFormat="false" ht="15" hidden="false" customHeight="false" outlineLevel="0" collapsed="false">
      <c r="A69" s="4" t="s">
        <v>47</v>
      </c>
      <c r="B69" s="26" t="str">
        <f aca="false">IF($B$66&lt;=$B$9,"n/a - inside guarantee",IF($B$11&lt;=$B$9,"n/a - cap below guarantee",IF((($B$11-$B$9)/($B$66-$B$9))&gt;1,"not possible (&gt;100%)",IF((($B$11-$B$9)/($B$66-$B$9))&lt;=0,"not possible (&lt;=0%)",TEXT(ROUND((($B$11-$B$9)/($B$66-$B$9))*100,1),"0.0")&amp;"%"))))</f>
        <v>37.5%</v>
      </c>
    </row>
    <row r="70" customFormat="false" ht="15" hidden="false" customHeight="false" outlineLevel="0" collapsed="false">
      <c r="A70" s="4" t="s">
        <v>48</v>
      </c>
      <c r="B70" s="26" t="str">
        <f aca="false">IF($B$10&gt;=1,"n/a - split is 100%",IF((($B$11-$B$10*$B$66)/(1-$B$10))&lt;0,"not possible (&lt;$0)",IF((($B$11-$B$10*$B$66)/(1-$B$10))&gt;$B$11,"not possible (&gt;cap)","$"&amp;TEXT(ROUND(($B$11-$B$10*$B$66)/(1-$B$10),0),"#,##0"))))</f>
        <v>$0</v>
      </c>
    </row>
    <row r="71" customFormat="false" ht="15" hidden="false" customHeight="false" outlineLevel="0" collapsed="false">
      <c r="A71" s="4" t="s">
        <v>49</v>
      </c>
      <c r="B71" s="26" t="str">
        <f aca="false">IF(($B$9+$B$10*($B$66-$B$9))&lt;$B$9,"not possible","$"&amp;TEXT(ROUND($B$9+$B$10*($B$66-$B$9),0),"#,##0"))</f>
        <v>$600</v>
      </c>
    </row>
    <row r="72" customFormat="false" ht="15" hidden="false" customHeight="false" outlineLevel="0" collapsed="false">
      <c r="A72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</v>
      </c>
    </row>
    <row r="6" customFormat="false" ht="15" hidden="false" customHeight="false" outlineLevel="0" collapsed="false">
      <c r="A6" s="4" t="s">
        <v>4</v>
      </c>
      <c r="B6" s="6" t="n">
        <v>100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53</v>
      </c>
      <c r="B9" s="5" t="n">
        <v>200</v>
      </c>
      <c r="C9" s="2" t="s">
        <v>54</v>
      </c>
    </row>
    <row r="10" customFormat="false" ht="15" hidden="false" customHeight="false" outlineLevel="0" collapsed="false">
      <c r="A10" s="4" t="s">
        <v>55</v>
      </c>
      <c r="B10" s="5" t="n">
        <v>100</v>
      </c>
    </row>
    <row r="11" customFormat="false" ht="15" hidden="false" customHeight="false" outlineLevel="0" collapsed="false">
      <c r="A11" s="4" t="s">
        <v>56</v>
      </c>
      <c r="B11" s="7" t="n">
        <v>0.5</v>
      </c>
    </row>
    <row r="12" customFormat="false" ht="15" hidden="false" customHeight="false" outlineLevel="0" collapsed="false">
      <c r="A12" s="4" t="s">
        <v>57</v>
      </c>
      <c r="B12" s="5" t="n">
        <v>500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  <c r="B15" s="8" t="n">
        <f aca="false">B5*B6</f>
        <v>1000</v>
      </c>
    </row>
    <row r="16" customFormat="false" ht="15" hidden="false" customHeight="false" outlineLevel="0" collapsed="false">
      <c r="A16" s="4" t="s">
        <v>58</v>
      </c>
      <c r="B16" s="9" t="n">
        <f aca="false">MIN(MIN($B$9,B15)+IF($B$11&gt;0,MIN(MAX(0,MAX(0,B15-$B$9)-$B$10)*$B$11,MAX(0,$B$12-MIN($B$9,B15))),0),$B$12)</f>
        <v>500</v>
      </c>
    </row>
    <row r="17" customFormat="false" ht="15" hidden="false" customHeight="false" outlineLevel="0" collapsed="false">
      <c r="A17" s="4" t="s">
        <v>59</v>
      </c>
      <c r="B17" s="27" t="n">
        <f aca="false">MIN(MAX(0,B15-$B$9),$B$10)</f>
        <v>100</v>
      </c>
    </row>
    <row r="18" customFormat="false" ht="15" hidden="false" customHeight="false" outlineLevel="0" collapsed="false">
      <c r="A18" s="4" t="s">
        <v>13</v>
      </c>
      <c r="B18" s="10" t="n">
        <f aca="false">B15-B16-B17</f>
        <v>400</v>
      </c>
    </row>
    <row r="19" customFormat="false" ht="15" hidden="false" customHeight="false" outlineLevel="0" collapsed="false">
      <c r="A19" s="4" t="s">
        <v>60</v>
      </c>
      <c r="B19" s="11" t="n">
        <f aca="false">IF(B12&lt;=B9,B12,IF(B11&lt;=0,"never",B9+B10+(B12-B9)/B11))</f>
        <v>900</v>
      </c>
    </row>
    <row r="20" customFormat="false" ht="15" hidden="false" customHeight="false" outlineLevel="0" collapsed="false">
      <c r="A20" s="4" t="s">
        <v>61</v>
      </c>
      <c r="B20" s="12" t="n">
        <f aca="false">IF(OR(B5&lt;=0,NOT(ISNUMBER(B19))),"never",ROUNDUP(B19/B5,0))</f>
        <v>90</v>
      </c>
    </row>
    <row r="21" customFormat="false" ht="15" hidden="false" customHeight="false" outlineLevel="0" collapsed="false">
      <c r="A21" s="4" t="s">
        <v>16</v>
      </c>
      <c r="B21" s="4" t="str">
        <f aca="false">IF(B15=0,"No door yet",IF(B16&gt;=B12,"DJ1 capped, DJ2 paid in full, rest is yours",IF(B15&lt;=B9,"Still inside DJ1's first $"&amp;TEXT(B9,"0"),IF(B15&lt;=B9+B10,"DJ1 covered, now inside DJ2's cut","DJ1 is $"&amp;TEXT(B12-B16,"0")&amp;" short of cap"))))</f>
        <v>DJ1 capped, DJ2 paid in full, rest is yours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13" t="s">
        <v>18</v>
      </c>
      <c r="B24" s="14" t="s">
        <v>19</v>
      </c>
      <c r="C24" s="14" t="s">
        <v>62</v>
      </c>
      <c r="D24" s="14" t="s">
        <v>63</v>
      </c>
      <c r="E24" s="14" t="s">
        <v>21</v>
      </c>
    </row>
    <row r="25" customFormat="false" ht="15" hidden="false" customHeight="false" outlineLevel="0" collapsed="false">
      <c r="A25" s="4" t="str">
        <f aca="false">"First $"&amp;TEXT(B9,"0")&amp;" (100% to DJ1)"</f>
        <v>First $200 (100% to DJ1)</v>
      </c>
      <c r="B25" s="11" t="n">
        <f aca="false">MIN(B15,B9)</f>
        <v>200</v>
      </c>
      <c r="C25" s="15" t="n">
        <f aca="false">B25</f>
        <v>200</v>
      </c>
      <c r="D25" s="28" t="n">
        <f aca="false">0</f>
        <v>0</v>
      </c>
      <c r="E25" s="16" t="n">
        <f aca="false">0</f>
        <v>0</v>
      </c>
    </row>
    <row r="26" customFormat="false" ht="15" hidden="false" customHeight="false" outlineLevel="0" collapsed="false">
      <c r="A26" s="4" t="str">
        <f aca="false">"Next $"&amp;TEXT(B10,"0")&amp;" (100% to DJ2)"</f>
        <v>Next $100 (100% to DJ2)</v>
      </c>
      <c r="B26" s="11" t="n">
        <f aca="false">MAX(0,MIN(B15-B9,B10))</f>
        <v>100</v>
      </c>
      <c r="C26" s="15" t="n">
        <f aca="false">0</f>
        <v>0</v>
      </c>
      <c r="D26" s="28" t="n">
        <f aca="false">B26</f>
        <v>100</v>
      </c>
      <c r="E26" s="16" t="n">
        <f aca="false">0</f>
        <v>0</v>
      </c>
    </row>
    <row r="27" customFormat="false" ht="15" hidden="false" customHeight="false" outlineLevel="0" collapsed="false">
      <c r="A27" s="4" t="str">
        <f aca="false">"Then (DJ1 "&amp;TEXT(B11,"0%")&amp;" / you "&amp;TEXT(1-B11,"0%")&amp;")"</f>
        <v>Then (DJ1 50% / you 50%)</v>
      </c>
      <c r="B27" s="11" t="n">
        <f aca="false">IF(ISNUMBER(B19),MAX(0,MIN(B15-B9-B10,B19-B9-B10)),MAX(0,B15-B9-B10))</f>
        <v>600</v>
      </c>
      <c r="C27" s="15" t="n">
        <f aca="false">B27*B11</f>
        <v>300</v>
      </c>
      <c r="D27" s="28" t="n">
        <f aca="false">0</f>
        <v>0</v>
      </c>
      <c r="E27" s="16" t="n">
        <f aca="false">B27-C27</f>
        <v>300</v>
      </c>
    </row>
    <row r="28" customFormat="false" ht="15" hidden="false" customHeight="false" outlineLevel="0" collapsed="false">
      <c r="A28" s="4" t="str">
        <f aca="false">IF(ISNUMBER(B19),"Above $"&amp;TEXT(B19,"0")&amp;" (DJ1 capped, 100% to you)","Above cap (n/a)")</f>
        <v>Above $900 (DJ1 capped, 100% to you)</v>
      </c>
      <c r="B28" s="11" t="n">
        <f aca="false">IF(ISNUMBER(B19),MAX(0,B15-B19),0)</f>
        <v>100</v>
      </c>
      <c r="C28" s="15" t="n">
        <f aca="false">0</f>
        <v>0</v>
      </c>
      <c r="D28" s="28" t="n">
        <f aca="false">0</f>
        <v>0</v>
      </c>
      <c r="E28" s="16" t="n">
        <f aca="false">B28</f>
        <v>100</v>
      </c>
    </row>
    <row r="29" customFormat="false" ht="15" hidden="false" customHeight="false" outlineLevel="0" collapsed="false">
      <c r="A29" s="17" t="s">
        <v>22</v>
      </c>
      <c r="B29" s="8" t="n">
        <f aca="false">SUM(B25:B28)</f>
        <v>1000</v>
      </c>
      <c r="C29" s="9" t="n">
        <f aca="false">SUM(C25:C28)</f>
        <v>500</v>
      </c>
      <c r="D29" s="27" t="n">
        <f aca="false">SUM(D25:D28)</f>
        <v>100</v>
      </c>
      <c r="E29" s="10" t="n">
        <f aca="false">SUM(E25:E28)</f>
        <v>400</v>
      </c>
    </row>
    <row r="30" customFormat="false" ht="15" hidden="false" customHeight="false" outlineLevel="0" collapsed="false">
      <c r="A30" s="2" t="str">
        <f aca="false">IF(AND(ROUND(C29-B16,2)=0,ROUND(D29-B17,2)=0),"check ok","CHECK: tiers do not match the split above")</f>
        <v>check ok</v>
      </c>
    </row>
    <row r="32" customFormat="false" ht="15" hidden="false" customHeight="false" outlineLevel="0" collapsed="false">
      <c r="A32" s="3" t="s">
        <v>64</v>
      </c>
    </row>
    <row r="33" customFormat="false" ht="15" hidden="false" customHeight="false" outlineLevel="0" collapsed="false">
      <c r="A33" s="13" t="s">
        <v>65</v>
      </c>
      <c r="B33" s="14" t="s">
        <v>66</v>
      </c>
      <c r="C33" s="14" t="s">
        <v>62</v>
      </c>
      <c r="D33" s="14" t="s">
        <v>63</v>
      </c>
      <c r="E33" s="14" t="s">
        <v>21</v>
      </c>
    </row>
    <row r="34" customFormat="false" ht="15" hidden="false" customHeight="false" outlineLevel="0" collapsed="false">
      <c r="A34" s="22" t="n">
        <v>5</v>
      </c>
      <c r="B34" s="20" t="n">
        <f aca="false">A34*$B$5</f>
        <v>50</v>
      </c>
      <c r="C34" s="20" t="n">
        <f aca="false">MIN(MIN($B$9,B34)+IF($B$11&gt;0,MIN(MAX(0,MAX(0,B34-$B$9)-$B$10)*$B$11,MAX(0,$B$12-MIN($B$9,B34))),0),$B$12)</f>
        <v>50</v>
      </c>
      <c r="D34" s="20" t="n">
        <f aca="false">MIN(MAX(0,B34-$B$9),$B$10)</f>
        <v>0</v>
      </c>
      <c r="E34" s="20" t="n">
        <f aca="false">B34-C34-D34</f>
        <v>0</v>
      </c>
    </row>
    <row r="35" customFormat="false" ht="15" hidden="false" customHeight="false" outlineLevel="0" collapsed="false">
      <c r="A35" s="22" t="n">
        <v>10</v>
      </c>
      <c r="B35" s="20" t="n">
        <f aca="false">A35*$B$5</f>
        <v>100</v>
      </c>
      <c r="C35" s="20" t="n">
        <f aca="false">MIN(MIN($B$9,B35)+IF($B$11&gt;0,MIN(MAX(0,MAX(0,B35-$B$9)-$B$10)*$B$11,MAX(0,$B$12-MIN($B$9,B35))),0),$B$12)</f>
        <v>100</v>
      </c>
      <c r="D35" s="20" t="n">
        <f aca="false">MIN(MAX(0,B35-$B$9),$B$10)</f>
        <v>0</v>
      </c>
      <c r="E35" s="20" t="n">
        <f aca="false">B35-C35-D35</f>
        <v>0</v>
      </c>
    </row>
    <row r="36" customFormat="false" ht="15" hidden="false" customHeight="false" outlineLevel="0" collapsed="false">
      <c r="A36" s="22" t="n">
        <v>20</v>
      </c>
      <c r="B36" s="20" t="n">
        <f aca="false">A36*$B$5</f>
        <v>200</v>
      </c>
      <c r="C36" s="20" t="n">
        <f aca="false">MIN(MIN($B$9,B36)+IF($B$11&gt;0,MIN(MAX(0,MAX(0,B36-$B$9)-$B$10)*$B$11,MAX(0,$B$12-MIN($B$9,B36))),0),$B$12)</f>
        <v>200</v>
      </c>
      <c r="D36" s="20" t="n">
        <f aca="false">MIN(MAX(0,B36-$B$9),$B$10)</f>
        <v>0</v>
      </c>
      <c r="E36" s="20" t="n">
        <f aca="false">B36-C36-D36</f>
        <v>0</v>
      </c>
    </row>
    <row r="37" customFormat="false" ht="15" hidden="false" customHeight="false" outlineLevel="0" collapsed="false">
      <c r="A37" s="22" t="n">
        <v>30</v>
      </c>
      <c r="B37" s="20" t="n">
        <f aca="false">A37*$B$5</f>
        <v>300</v>
      </c>
      <c r="C37" s="20" t="n">
        <f aca="false">MIN(MIN($B$9,B37)+IF($B$11&gt;0,MIN(MAX(0,MAX(0,B37-$B$9)-$B$10)*$B$11,MAX(0,$B$12-MIN($B$9,B37))),0),$B$12)</f>
        <v>200</v>
      </c>
      <c r="D37" s="20" t="n">
        <f aca="false">MIN(MAX(0,B37-$B$9),$B$10)</f>
        <v>100</v>
      </c>
      <c r="E37" s="20" t="n">
        <f aca="false">B37-C37-D37</f>
        <v>0</v>
      </c>
    </row>
    <row r="38" customFormat="false" ht="15" hidden="false" customHeight="false" outlineLevel="0" collapsed="false">
      <c r="A38" s="22" t="n">
        <v>40</v>
      </c>
      <c r="B38" s="20" t="n">
        <f aca="false">A38*$B$5</f>
        <v>400</v>
      </c>
      <c r="C38" s="20" t="n">
        <f aca="false">MIN(MIN($B$9,B38)+IF($B$11&gt;0,MIN(MAX(0,MAX(0,B38-$B$9)-$B$10)*$B$11,MAX(0,$B$12-MIN($B$9,B38))),0),$B$12)</f>
        <v>250</v>
      </c>
      <c r="D38" s="20" t="n">
        <f aca="false">MIN(MAX(0,B38-$B$9),$B$10)</f>
        <v>100</v>
      </c>
      <c r="E38" s="20" t="n">
        <f aca="false">B38-C38-D38</f>
        <v>50</v>
      </c>
    </row>
    <row r="39" customFormat="false" ht="15" hidden="false" customHeight="false" outlineLevel="0" collapsed="false">
      <c r="A39" s="22" t="n">
        <v>50</v>
      </c>
      <c r="B39" s="20" t="n">
        <f aca="false">A39*$B$5</f>
        <v>500</v>
      </c>
      <c r="C39" s="20" t="n">
        <f aca="false">MIN(MIN($B$9,B39)+IF($B$11&gt;0,MIN(MAX(0,MAX(0,B39-$B$9)-$B$10)*$B$11,MAX(0,$B$12-MIN($B$9,B39))),0),$B$12)</f>
        <v>300</v>
      </c>
      <c r="D39" s="20" t="n">
        <f aca="false">MIN(MAX(0,B39-$B$9),$B$10)</f>
        <v>100</v>
      </c>
      <c r="E39" s="20" t="n">
        <f aca="false">B39-C39-D39</f>
        <v>100</v>
      </c>
    </row>
    <row r="40" customFormat="false" ht="15" hidden="false" customHeight="false" outlineLevel="0" collapsed="false">
      <c r="A40" s="22" t="n">
        <v>75</v>
      </c>
      <c r="B40" s="20" t="n">
        <f aca="false">A40*$B$5</f>
        <v>750</v>
      </c>
      <c r="C40" s="20" t="n">
        <f aca="false">MIN(MIN($B$9,B40)+IF($B$11&gt;0,MIN(MAX(0,MAX(0,B40-$B$9)-$B$10)*$B$11,MAX(0,$B$12-MIN($B$9,B40))),0),$B$12)</f>
        <v>425</v>
      </c>
      <c r="D40" s="20" t="n">
        <f aca="false">MIN(MAX(0,B40-$B$9),$B$10)</f>
        <v>100</v>
      </c>
      <c r="E40" s="20" t="n">
        <f aca="false">B40-C40-D40</f>
        <v>225</v>
      </c>
    </row>
    <row r="41" customFormat="false" ht="15" hidden="false" customHeight="false" outlineLevel="0" collapsed="false">
      <c r="A41" s="22" t="n">
        <v>100</v>
      </c>
      <c r="B41" s="20" t="n">
        <f aca="false">A41*$B$5</f>
        <v>1000</v>
      </c>
      <c r="C41" s="20" t="n">
        <f aca="false">MIN(MIN($B$9,B41)+IF($B$11&gt;0,MIN(MAX(0,MAX(0,B41-$B$9)-$B$10)*$B$11,MAX(0,$B$12-MIN($B$9,B41))),0),$B$12)</f>
        <v>500</v>
      </c>
      <c r="D41" s="20" t="n">
        <f aca="false">MIN(MAX(0,B41-$B$9),$B$10)</f>
        <v>100</v>
      </c>
      <c r="E41" s="20" t="n">
        <f aca="false">B41-C41-D41</f>
        <v>400</v>
      </c>
    </row>
    <row r="42" customFormat="false" ht="15" hidden="false" customHeight="false" outlineLevel="0" collapsed="false">
      <c r="A42" s="22" t="n">
        <v>150</v>
      </c>
      <c r="B42" s="20" t="n">
        <f aca="false">A42*$B$5</f>
        <v>1500</v>
      </c>
      <c r="C42" s="20" t="n">
        <f aca="false">MIN(MIN($B$9,B42)+IF($B$11&gt;0,MIN(MAX(0,MAX(0,B42-$B$9)-$B$10)*$B$11,MAX(0,$B$12-MIN($B$9,B42))),0),$B$12)</f>
        <v>500</v>
      </c>
      <c r="D42" s="20" t="n">
        <f aca="false">MIN(MAX(0,B42-$B$9),$B$10)</f>
        <v>100</v>
      </c>
      <c r="E42" s="20" t="n">
        <f aca="false">B42-C42-D42</f>
        <v>900</v>
      </c>
    </row>
    <row r="43" customFormat="false" ht="15" hidden="false" customHeight="false" outlineLevel="0" collapsed="false">
      <c r="A43" s="22" t="n">
        <v>200</v>
      </c>
      <c r="B43" s="20" t="n">
        <f aca="false">A43*$B$5</f>
        <v>2000</v>
      </c>
      <c r="C43" s="20" t="n">
        <f aca="false">MIN(MIN($B$9,B43)+IF($B$11&gt;0,MIN(MAX(0,MAX(0,B43-$B$9)-$B$10)*$B$11,MAX(0,$B$12-MIN($B$9,B43))),0),$B$12)</f>
        <v>500</v>
      </c>
      <c r="D43" s="20" t="n">
        <f aca="false">MIN(MAX(0,B43-$B$9),$B$10)</f>
        <v>100</v>
      </c>
      <c r="E43" s="20" t="n">
        <f aca="false">B43-C43-D43</f>
        <v>1400</v>
      </c>
    </row>
    <row r="44" customFormat="false" ht="15" hidden="false" customHeight="false" outlineLevel="0" collapsed="false">
      <c r="A44" s="2" t="s">
        <v>67</v>
      </c>
    </row>
    <row r="46" customFormat="false" ht="15" hidden="false" customHeight="false" outlineLevel="0" collapsed="false">
      <c r="A46" s="3" t="s">
        <v>32</v>
      </c>
    </row>
    <row r="47" customFormat="false" ht="15" hidden="false" customHeight="false" outlineLevel="0" collapsed="false">
      <c r="A47" s="23" t="s">
        <v>33</v>
      </c>
      <c r="B47" s="4" t="s">
        <v>34</v>
      </c>
    </row>
    <row r="48" customFormat="false" ht="15" hidden="false" customHeight="false" outlineLevel="0" collapsed="false">
      <c r="A48" s="24" t="s">
        <v>35</v>
      </c>
      <c r="B48" s="4" t="s">
        <v>68</v>
      </c>
    </row>
    <row r="49" customFormat="false" ht="15" hidden="false" customHeight="false" outlineLevel="0" collapsed="false">
      <c r="A49" s="29" t="s">
        <v>69</v>
      </c>
      <c r="B49" s="4" t="s">
        <v>70</v>
      </c>
    </row>
    <row r="50" customFormat="false" ht="15" hidden="false" customHeight="false" outlineLevel="0" collapsed="false">
      <c r="A50" s="25" t="s">
        <v>37</v>
      </c>
      <c r="B50" s="4" t="s">
        <v>38</v>
      </c>
    </row>
    <row r="51" customFormat="false" ht="15" hidden="false" customHeight="false" outlineLevel="0" collapsed="false">
      <c r="A51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2026-09-09T03:53:00Z</dcterms:created>
  <dc:creator>openpyxl</dc:creator>
  <dc:description/>
  <dc:language>en-US</dc:language>
  <cp:lastModifiedBy/>
  <dcterms:modified xsi:type="dcterms:W3CDTF">2026-09-09T03:53:00Z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